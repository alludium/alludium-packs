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ask Map" sheetId="1" state="visible" r:id="rId1"/>
    <sheet name="Skill Map" sheetId="2" state="visible" r:id="rId2"/>
    <sheet name="Document Catalog" sheetId="3" state="visible" r:id="rId3"/>
    <sheet name="Task Skill Links" sheetId="4" state="visible" r:id="rId4"/>
    <sheet name="Task Document Links" sheetId="5" state="visible" r:id="rId5"/>
    <sheet name="Link Config" sheetId="6" state="visible" r:id="rId6"/>
  </sheets>
  <definedNames>
    <definedName name="_xlnm._FilterDatabase" localSheetId="0" hidden="1">'Task Map'!$A$1:$K$334</definedName>
    <definedName name="_xlnm._FilterDatabase" localSheetId="1" hidden="1">'Skill Map'!$A$1:$H$67</definedName>
    <definedName name="_xlnm._FilterDatabase" localSheetId="2" hidden="1">'Document Catalog'!$A$1:$E$55</definedName>
    <definedName name="_xlnm._FilterDatabase" localSheetId="3" hidden="1">'Task Skill Links'!$A$1:$D$246</definedName>
    <definedName name="_xlnm._FilterDatabase" localSheetId="4" hidden="1">'Task Document Links'!$A$1:$F$214</definedName>
    <definedName name="_xlnm._FilterDatabase" localSheetId="5" hidden="1">'Link Config'!$A$1:$C$2</definedName>
  </definedNames>
  <calcPr calcId="124519" calcMode="auto" fullCalcOnLoad="1" forceFullCalc="1"/>
</workbook>
</file>

<file path=xl/styles.xml><?xml version="1.0" encoding="utf-8"?>
<styleSheet xmlns="http://schemas.openxmlformats.org/spreadsheetml/2006/main">
  <numFmts count="0"/>
  <fonts count="12">
    <font>
      <name val="Carlito"/>
      <color rgb="FF000000"/>
      <sz val="11"/>
      <scheme val="minor"/>
    </font>
    <font>
      <name val="Carlito"/>
      <b val="1"/>
      <color theme="1"/>
      <sz val="14"/>
    </font>
    <font>
      <name val="Carlito"/>
      <color theme="1"/>
      <sz val="11"/>
    </font>
    <font>
      <name val="Carlito"/>
      <b val="1"/>
      <color theme="1"/>
      <sz val="11"/>
    </font>
    <font>
      <name val="Carlito"/>
      <color theme="1"/>
      <scheme val="minor"/>
    </font>
    <font>
      <name val="Carlito"/>
      <color rgb="FF0563C1"/>
      <sz val="11"/>
      <u val="single"/>
    </font>
    <font>
      <name val="Carlito"/>
      <color rgb="FF0563C1"/>
      <sz val="11"/>
      <u val="single"/>
    </font>
    <font>
      <name val="Calibri"/>
      <color rgb="FF006100"/>
      <sz val="12"/>
      <u val="single"/>
    </font>
    <font>
      <name val="Carlito"/>
      <b val="1"/>
      <color rgb="FFFFFFFF"/>
      <sz val="11"/>
    </font>
    <font>
      <b val="1"/>
      <color rgb="00FFFFFF"/>
    </font>
    <font>
      <b val="1"/>
      <color rgb="001F4E78"/>
    </font>
    <font>
      <name val="Calibri"/>
      <family val="2"/>
      <color theme="10"/>
      <sz val="12"/>
      <scheme val="minor"/>
    </font>
  </fonts>
  <fills count="6">
    <fill>
      <patternFill/>
    </fill>
    <fill>
      <patternFill patternType="lightGray"/>
    </fill>
    <fill>
      <patternFill patternType="solid">
        <fgColor rgb="FFFFFF00"/>
        <bgColor rgb="FFFFFF00"/>
      </patternFill>
    </fill>
    <fill>
      <patternFill patternType="solid">
        <fgColor rgb="FFC6EFCE"/>
        <bgColor rgb="FFC6EFCE"/>
      </patternFill>
    </fill>
    <fill>
      <patternFill patternType="solid">
        <fgColor rgb="001F4E78"/>
      </patternFill>
    </fill>
    <fill>
      <patternFill patternType="solid">
        <fgColor rgb="00D9EAF7"/>
      </patternFill>
    </fill>
  </fills>
  <borders count="4">
    <border/>
    <border>
      <left/>
      <right/>
      <top/>
      <bottom/>
    </border>
    <border>
      <bottom style="thin">
        <color rgb="00D9E2F3"/>
      </bottom>
    </border>
    <border>
      <left/>
      <right/>
      <top/>
      <bottom/>
      <diagonal/>
    </border>
  </borders>
  <cellStyleXfs count="2">
    <xf numFmtId="0" fontId="0" fillId="0" borderId="0"/>
    <xf numFmtId="0" fontId="11" fillId="0" borderId="3"/>
  </cellStyleXfs>
  <cellXfs count="17">
    <xf numFmtId="0" fontId="0" fillId="0" borderId="0" applyAlignment="1" pivotButton="0" quotePrefix="0" xfId="0">
      <alignment vertical="bottom"/>
    </xf>
    <xf numFmtId="0" fontId="1"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pivotButton="0" quotePrefix="0" xfId="0"/>
    <xf numFmtId="0" fontId="5" fillId="0" borderId="0" pivotButton="0" quotePrefix="0" xfId="0"/>
    <xf numFmtId="0" fontId="4" fillId="2" borderId="0" pivotButton="0" quotePrefix="0" xfId="0"/>
    <xf numFmtId="0" fontId="6" fillId="2" borderId="0" pivotButton="0" quotePrefix="0" xfId="0"/>
    <xf numFmtId="0" fontId="7" fillId="3" borderId="1" pivotButton="0" quotePrefix="0" xfId="0"/>
    <xf numFmtId="0" fontId="8" fillId="0" borderId="0" pivotButton="0" quotePrefix="0" xfId="0"/>
    <xf numFmtId="0" fontId="0" fillId="0" borderId="0" pivotButton="0" quotePrefix="0" xfId="0"/>
    <xf numFmtId="0" fontId="9" fillId="4" borderId="2" applyAlignment="1" pivotButton="0" quotePrefix="0" xfId="0">
      <alignment horizontal="center" vertical="center" wrapText="1"/>
    </xf>
    <xf numFmtId="0" fontId="10" fillId="5" borderId="2" applyAlignment="1" pivotButton="0" quotePrefix="0" xfId="0">
      <alignment horizontal="center" vertical="center" wrapText="1"/>
    </xf>
    <xf numFmtId="0" fontId="0" fillId="0" borderId="2" applyAlignment="1" pivotButton="0" quotePrefix="0" xfId="0">
      <alignment vertical="top" wrapText="1"/>
    </xf>
    <xf numFmtId="0" fontId="11" fillId="0" borderId="2" applyAlignment="1" pivotButton="0" quotePrefix="0" xfId="1">
      <alignment vertical="top" wrapText="1"/>
    </xf>
  </cellXfs>
  <cellStyles count="2">
    <cellStyle name="Normal" xfId="0" builtin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skMap" displayName="TaskMap" ref="A2:K334" headerRowCount="1">
  <autoFilter ref="A2:K334"/>
  <tableColumns count="11">
    <tableColumn id="1" name="Owner"/>
    <tableColumn id="2" name="Project Type"/>
    <tableColumn id="3" name="Stage / Pseudo-stage"/>
    <tableColumn id="4" name="Task"/>
    <tableColumn id="5" name="Description"/>
    <tableColumn id="6" name="Agent"/>
    <tableColumn id="7" name="Linked skill"/>
    <tableColumn id="8" name="Linked document reference"/>
    <tableColumn id="9" name="MCP / app / platform surfaces"/>
    <tableColumn id="10" name="Task slug"/>
    <tableColumn id="11" name="Project scope"/>
  </tableColumns>
  <tableStyleInfo name="TableStyleMedium2" showRowStripes="1" showColumnStripes="0"/>
</table>
</file>

<file path=xl/tables/table2.xml><?xml version="1.0" encoding="utf-8"?>
<table xmlns="http://schemas.openxmlformats.org/spreadsheetml/2006/main" id="2" name="SkillMap" displayName="SkillMap" ref="A2:H67" headerRowCount="1">
  <autoFilter ref="A2:H67"/>
  <tableColumns count="8">
    <tableColumn id="1" name="Owner"/>
    <tableColumn id="2" name="Linked skill"/>
    <tableColumn id="3" name="Agents using skill"/>
    <tableColumn id="4" name="All task rows"/>
    <tableColumn id="5" name="Project-instance task rows"/>
    <tableColumn id="6" name="Setup/general/management task rows"/>
    <tableColumn id="7" name="Agents"/>
    <tableColumn id="8" name="Tasks"/>
  </tableColumns>
  <tableStyleInfo name="TableStyleMedium2" showRowStripes="1" showColumnStripes="0"/>
</table>
</file>

<file path=xl/tables/table3.xml><?xml version="1.0" encoding="utf-8"?>
<table xmlns="http://schemas.openxmlformats.org/spreadsheetml/2006/main" id="3" name="DocumentCatalog" displayName="DocumentCatalog" ref="A2:E55" headerRowCount="1">
  <autoFilter ref="A2:E55"/>
  <tableColumns count="5">
    <tableColumn id="1" name="Linked document"/>
    <tableColumn id="2" name="Document Type"/>
    <tableColumn id="3" name="Supported Project Types"/>
    <tableColumn id="4" name="Description"/>
    <tableColumn id="5" name="Related Task Slugs"/>
  </tableColumns>
  <tableStyleInfo name="TableStyleMedium2" showRowStripes="1" showColumnStripes="0"/>
</table>
</file>

<file path=xl/tables/table4.xml><?xml version="1.0" encoding="utf-8"?>
<table xmlns="http://schemas.openxmlformats.org/spreadsheetml/2006/main" id="4" name="TaskSkillLinks" displayName="TaskSkillLinks" ref="A2:D246" headerRowCount="1">
  <autoFilter ref="A2:D246"/>
  <tableColumns count="4">
    <tableColumn id="1" name="Project Type"/>
    <tableColumn id="2" name="Stage / Pseudo-stage"/>
    <tableColumn id="3" name="Linked task"/>
    <tableColumn id="4" name="Linked skill"/>
  </tableColumns>
  <tableStyleInfo name="TableStyleMedium2" showRowStripes="1" showColumnStripes="0"/>
</table>
</file>

<file path=xl/tables/table5.xml><?xml version="1.0" encoding="utf-8"?>
<table xmlns="http://schemas.openxmlformats.org/spreadsheetml/2006/main" id="5" name="TaskDocumentLinks" displayName="TaskDocumentLinks" ref="A2:F214" headerRowCount="1">
  <autoFilter ref="A2:F214"/>
  <tableColumns count="6">
    <tableColumn id="1" name="Project Type"/>
    <tableColumn id="2" name="Stage / Pseudo-stage"/>
    <tableColumn id="3" name="Linked task"/>
    <tableColumn id="4" name="Linked document"/>
    <tableColumn id="5" name="Document usage"/>
    <tableColumn id="6" name="Output field"/>
  </tableColumns>
  <tableStyleInfo name="TableStyleMedium2"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K334"/>
  <sheetViews>
    <sheetView workbookViewId="0">
      <pane ySplit="2" topLeftCell="A3" activePane="bottomLeft" state="frozen"/>
      <selection pane="bottomLeft" activeCell="A1" sqref="A1"/>
    </sheetView>
  </sheetViews>
  <sheetFormatPr baseColWidth="8" defaultColWidth="12.63" defaultRowHeight="15" customHeight="1"/>
  <cols>
    <col width="18" customWidth="1" style="12" min="1" max="2"/>
    <col width="24" customWidth="1" style="12" min="2" max="2"/>
    <col width="22" customWidth="1" style="12" min="3" max="3"/>
    <col width="38" customWidth="1" style="12" min="4" max="4"/>
    <col width="80" customWidth="1" style="12" min="5" max="5"/>
    <col width="26" customWidth="1" style="12" min="6" max="6"/>
    <col width="46" customWidth="1" style="12" min="7" max="7"/>
    <col width="72" customWidth="1" style="12" min="8" max="27"/>
    <col width="32" customWidth="1" style="12" min="9" max="9"/>
    <col width="34" customWidth="1" style="12" min="10" max="10"/>
    <col width="18" customWidth="1" style="12" min="11" max="11"/>
  </cols>
  <sheetData>
    <row r="1" ht="18" customHeight="1" s="12">
      <c r="A1" s="13" t="inlineStr">
        <is>
          <t>Assigned</t>
        </is>
      </c>
      <c r="B1" s="13" t="inlineStr">
        <is>
          <t>Project</t>
        </is>
      </c>
      <c r="C1" s="13" t="inlineStr">
        <is>
          <t>Stage</t>
        </is>
      </c>
      <c r="D1" s="13" t="inlineStr">
        <is>
          <t>Task</t>
        </is>
      </c>
      <c r="E1" s="13" t="inlineStr">
        <is>
          <t>Description</t>
        </is>
      </c>
      <c r="F1" s="13" t="inlineStr">
        <is>
          <t>Agent</t>
        </is>
      </c>
      <c r="G1" s="13" t="inlineStr">
        <is>
          <t>Skill</t>
        </is>
      </c>
      <c r="H1" s="13" t="inlineStr">
        <is>
          <t>Document</t>
        </is>
      </c>
      <c r="I1" s="13" t="inlineStr">
        <is>
          <t>Integrations</t>
        </is>
      </c>
      <c r="J1" s="13" t="inlineStr">
        <is>
          <t>Task Slug</t>
        </is>
      </c>
      <c r="K1" s="13" t="inlineStr">
        <is>
          <t>Scope</t>
        </is>
      </c>
    </row>
    <row r="2" ht="18" customHeight="1" s="12">
      <c r="A2" s="14" t="inlineStr">
        <is>
          <t>Owner</t>
        </is>
      </c>
      <c r="B2" s="14" t="inlineStr">
        <is>
          <t>Project Type</t>
        </is>
      </c>
      <c r="C2" s="14" t="inlineStr">
        <is>
          <t>Stage / Pseudo-stage</t>
        </is>
      </c>
      <c r="D2" s="14" t="inlineStr">
        <is>
          <t>Task</t>
        </is>
      </c>
      <c r="E2" s="14" t="inlineStr">
        <is>
          <t>Description</t>
        </is>
      </c>
      <c r="F2" s="14" t="inlineStr">
        <is>
          <t>Agent</t>
        </is>
      </c>
      <c r="G2" s="14" t="inlineStr">
        <is>
          <t>Linked skill</t>
        </is>
      </c>
      <c r="H2" s="14" t="inlineStr">
        <is>
          <t>Linked document reference</t>
        </is>
      </c>
      <c r="I2" s="14" t="inlineStr">
        <is>
          <t>MCP / app / platform surfaces</t>
        </is>
      </c>
      <c r="J2" s="14" t="inlineStr">
        <is>
          <t>Task slug</t>
        </is>
      </c>
      <c r="K2" s="14" t="inlineStr">
        <is>
          <t>Project scope</t>
        </is>
      </c>
    </row>
    <row r="3" ht="18" customHeight="1" s="12">
      <c r="A3" s="15" t="inlineStr"/>
      <c r="B3" s="15" t="inlineStr">
        <is>
          <t>Deal Pipeline</t>
        </is>
      </c>
      <c r="C3" s="15" t="inlineStr">
        <is>
          <t>Setup</t>
        </is>
      </c>
      <c r="D3" s="15" t="inlineStr">
        <is>
          <t>Project Source Choice</t>
        </is>
      </c>
      <c r="E3" s="15" t="inlineStr">
        <is>
          <t>Choose the source of truth or setup route for the project.</t>
        </is>
      </c>
      <c r="F3" s="16">
        <f>HYPERLINK('Link Config'!$B$2&amp;"plugins/vc/agents/vc-deal-room-setup-guide.md","Deal Pipeline Setup Guide")</f>
        <v/>
      </c>
      <c r="G3" s="15" t="inlineStr">
        <is>
          <t>None declared</t>
        </is>
      </c>
      <c r="H3" s="15" t="inlineStr">
        <is>
          <t>None declared</t>
        </is>
      </c>
      <c r="I3" s="15" t="inlineStr">
        <is>
          <t>None declared</t>
        </is>
      </c>
      <c r="J3" s="15" t="inlineStr">
        <is>
          <t>project-source-choice</t>
        </is>
      </c>
      <c r="K3" s="15" t="inlineStr">
        <is>
          <t>setup</t>
        </is>
      </c>
    </row>
    <row r="4" ht="18" customHeight="1" s="12">
      <c r="A4" s="15" t="inlineStr"/>
      <c r="B4" s="15" t="inlineStr">
        <is>
          <t>Deal Pipeline</t>
        </is>
      </c>
      <c r="C4" s="15" t="inlineStr">
        <is>
          <t>Setup</t>
        </is>
      </c>
      <c r="D4" s="15" t="inlineStr">
        <is>
          <t>Project Variable Review</t>
        </is>
      </c>
      <c r="E4" s="15" t="inlineStr">
        <is>
          <t>Review workspace and project variables before normal execution.</t>
        </is>
      </c>
      <c r="F4" s="16">
        <f>HYPERLINK('Link Config'!$B$2&amp;"plugins/vc/agents/vc-deal-room-setup-guide.md","Deal Pipeline Setup Guide")</f>
        <v/>
      </c>
      <c r="G4" s="15" t="inlineStr">
        <is>
          <t>None declared</t>
        </is>
      </c>
      <c r="H4" s="15" t="inlineStr">
        <is>
          <t>None declared</t>
        </is>
      </c>
      <c r="I4" s="15" t="inlineStr">
        <is>
          <t>None declared</t>
        </is>
      </c>
      <c r="J4" s="15" t="inlineStr">
        <is>
          <t>project-variable-review</t>
        </is>
      </c>
      <c r="K4" s="15" t="inlineStr">
        <is>
          <t>setup</t>
        </is>
      </c>
    </row>
    <row r="5" ht="18" customHeight="1" s="12">
      <c r="A5" s="15" t="inlineStr"/>
      <c r="B5" s="15" t="inlineStr">
        <is>
          <t>Deal Pipeline</t>
        </is>
      </c>
      <c r="C5" s="15" t="inlineStr">
        <is>
          <t>Setup</t>
        </is>
      </c>
      <c r="D5" s="15" t="inlineStr">
        <is>
          <t>Project Schedule Review</t>
        </is>
      </c>
      <c r="E5" s="15" t="inlineStr">
        <is>
          <t>Review optional schedule groups before enabling recurring work.</t>
        </is>
      </c>
      <c r="F5" s="16">
        <f>HYPERLINK('Link Config'!$B$2&amp;"plugins/vc/agents/vc-deal-room-setup-guide.md","Deal Pipeline Setup Guide")</f>
        <v/>
      </c>
      <c r="G5" s="15" t="inlineStr">
        <is>
          <t>None declared</t>
        </is>
      </c>
      <c r="H5" s="15" t="inlineStr">
        <is>
          <t>None declared</t>
        </is>
      </c>
      <c r="I5" s="15" t="inlineStr">
        <is>
          <t>None declared</t>
        </is>
      </c>
      <c r="J5" s="15" t="inlineStr">
        <is>
          <t>project-schedule-review</t>
        </is>
      </c>
      <c r="K5" s="15" t="inlineStr">
        <is>
          <t>setup</t>
        </is>
      </c>
    </row>
    <row r="6" ht="18" customHeight="1" s="12">
      <c r="A6" s="15" t="inlineStr"/>
      <c r="B6" s="15" t="inlineStr">
        <is>
          <t>Deal Pipeline</t>
        </is>
      </c>
      <c r="C6" s="15" t="inlineStr">
        <is>
          <t>Setup</t>
        </is>
      </c>
      <c r="D6" s="15" t="inlineStr">
        <is>
          <t>Project Team Invite Review</t>
        </is>
      </c>
      <c r="E6" s="15" t="inlineStr">
        <is>
          <t>Review suggested collaborators before sending invitations.</t>
        </is>
      </c>
      <c r="F6" s="16">
        <f>HYPERLINK('Link Config'!$B$2&amp;"plugins/vc/agents/vc-deal-room-setup-guide.md","Deal Pipeline Setup Guide")</f>
        <v/>
      </c>
      <c r="G6" s="15" t="inlineStr">
        <is>
          <t>None declared</t>
        </is>
      </c>
      <c r="H6" s="15" t="inlineStr">
        <is>
          <t>None declared</t>
        </is>
      </c>
      <c r="I6" s="15" t="inlineStr">
        <is>
          <t>None declared</t>
        </is>
      </c>
      <c r="J6" s="15" t="inlineStr">
        <is>
          <t>project-team-invite</t>
        </is>
      </c>
      <c r="K6" s="15" t="inlineStr">
        <is>
          <t>setup</t>
        </is>
      </c>
    </row>
    <row r="7" ht="135" customHeight="1" s="12">
      <c r="A7" s="15" t="inlineStr">
        <is>
          <t>Alex</t>
        </is>
      </c>
      <c r="B7" s="15" t="inlineStr">
        <is>
          <t>Deal Pipeline</t>
        </is>
      </c>
      <c r="C7" s="15" t="inlineStr">
        <is>
          <t>Setup</t>
        </is>
      </c>
      <c r="D7" s="16">
        <f>HYPERLINK('Link Config'!$B$2&amp;"plugins/vc/tasks/screen-inbound-opportunity.md","Capture Opportunity Intake")</f>
        <v/>
      </c>
      <c r="E7" s="15" t="inlineStr">
        <is>
          <t>Capture source context, known fields, missing information, and guided project-creation values for one venture-capital opportunity before formal screening.</t>
        </is>
      </c>
      <c r="F7" s="16">
        <f>HYPERLINK('Link Config'!$B$2&amp;"plugins/vc/agents/vc-dealflow-concierge.md","Dealflow Concierge")</f>
        <v/>
      </c>
      <c r="G7" s="16">
        <f>HYPERLINK('Link Config'!$B$2&amp;"plugins/vc/skills/deal-room-setup-and-source-ingestion/SKILL.md","Deal Pipeline Setup &amp; Source Ingestion")</f>
        <v/>
      </c>
      <c r="H7" s="16">
        <f>HYPERLINK('Link Config'!$B$2&amp;"plugins/vc/alludium/documents/deal-room/deal-room-sop.md","Deal Pipeline Operating SOP (operating_guidance)")</f>
        <v/>
      </c>
      <c r="I7" s="15" t="inlineStr">
        <is>
          <t>alludium-platform
harmonic-mcp-oauth
affinity-mcp-server
exa-mcp-hosted
brave-search-mcp
serpapi-mcp
firecrawl-mcp-hosted
dealroom-mcp
google_drive</t>
        </is>
      </c>
      <c r="J7" s="15" t="inlineStr">
        <is>
          <t>screen-inbound-opportunity</t>
        </is>
      </c>
      <c r="K7" s="15" t="inlineStr">
        <is>
          <t>setup</t>
        </is>
      </c>
    </row>
    <row r="8" ht="135" customHeight="1" s="12">
      <c r="A8" s="15" t="inlineStr">
        <is>
          <t>Alex</t>
        </is>
      </c>
      <c r="B8" s="15" t="inlineStr">
        <is>
          <t>Deal Pipeline</t>
        </is>
      </c>
      <c r="C8" s="15" t="inlineStr">
        <is>
          <t>Setup</t>
        </is>
      </c>
      <c r="D8" s="16">
        <f>HYPERLINK('Link Config'!$B$2&amp;"plugins/vc/tasks/screen-inbound-opportunity.md","Capture Opportunity Intake")</f>
        <v/>
      </c>
      <c r="E8" s="15" t="inlineStr">
        <is>
          <t>Capture source context, known fields, missing information, and guided project-creation values for one venture-capital opportunity before formal screening.</t>
        </is>
      </c>
      <c r="F8" s="16">
        <f>HYPERLINK('Link Config'!$B$2&amp;"plugins/vc/agents/vc-dealflow-concierge.md","Dealflow Concierge")</f>
        <v/>
      </c>
      <c r="G8" s="16">
        <f>HYPERLINK('Link Config'!$B$2&amp;"plugins/vc/skills/company-research-and-enrichment/SKILL.md","Company Research &amp; Enrichment")</f>
        <v/>
      </c>
      <c r="H8" s="16">
        <f>HYPERLINK('Link Config'!$B$2&amp;"plugins/vc/alludium/documents/shared/evidence-citation-style-guide.md","Evidence And Citation Style Guide (style_guide)")</f>
        <v/>
      </c>
      <c r="I8" s="15" t="inlineStr">
        <is>
          <t>alludium-platform
harmonic-mcp-oauth
affinity-mcp-server
exa-mcp-hosted
brave-search-mcp
serpapi-mcp
firecrawl-mcp-hosted
dealroom-mcp
google_drive</t>
        </is>
      </c>
      <c r="J8" s="15" t="inlineStr">
        <is>
          <t>screen-inbound-opportunity</t>
        </is>
      </c>
      <c r="K8" s="15" t="inlineStr">
        <is>
          <t>setup</t>
        </is>
      </c>
    </row>
    <row r="9" ht="135" customHeight="1" s="12">
      <c r="A9" s="15" t="inlineStr">
        <is>
          <t>Alex</t>
        </is>
      </c>
      <c r="B9" s="15" t="inlineStr">
        <is>
          <t>Deal Pipeline</t>
        </is>
      </c>
      <c r="C9" s="15" t="inlineStr">
        <is>
          <t>Setup</t>
        </is>
      </c>
      <c r="D9" s="16">
        <f>HYPERLINK('Link Config'!$B$2&amp;"plugins/vc/tasks/screen-inbound-opportunity.md","Capture Opportunity Intake")</f>
        <v/>
      </c>
      <c r="E9" s="15" t="inlineStr">
        <is>
          <t>Capture source context, known fields, missing information, and guided project-creation values for one venture-capital opportunity before formal screening.</t>
        </is>
      </c>
      <c r="F9" s="16">
        <f>HYPERLINK('Link Config'!$B$2&amp;"plugins/vc/agents/vc-dealflow-concierge.md","Dealflow Concierge")</f>
        <v/>
      </c>
      <c r="G9" s="16">
        <f>HYPERLINK('Link Config'!$B$2&amp;"plugins/vc/skills/citation-enforcement/SKILL.md","Citation Enforcement")</f>
        <v/>
      </c>
      <c r="H9" s="16">
        <f>HYPERLINK('Link Config'!$B$2&amp;"plugins/vc/alludium/documents/shared/template-use-guidance.md","Template Use Guidance (operating_guidance)")</f>
        <v/>
      </c>
      <c r="I9" s="15" t="inlineStr">
        <is>
          <t>alludium-platform
harmonic-mcp-oauth
affinity-mcp-server
exa-mcp-hosted
brave-search-mcp
serpapi-mcp
firecrawl-mcp-hosted
dealroom-mcp
google_drive</t>
        </is>
      </c>
      <c r="J9" s="15" t="inlineStr">
        <is>
          <t>screen-inbound-opportunity</t>
        </is>
      </c>
      <c r="K9" s="15" t="inlineStr">
        <is>
          <t>setup</t>
        </is>
      </c>
    </row>
    <row r="10" ht="135" customHeight="1" s="12">
      <c r="A10" s="15" t="inlineStr">
        <is>
          <t>Alex</t>
        </is>
      </c>
      <c r="B10" s="15" t="inlineStr">
        <is>
          <t>Deal Pipeline</t>
        </is>
      </c>
      <c r="C10" s="15" t="inlineStr">
        <is>
          <t>Setup</t>
        </is>
      </c>
      <c r="D10" s="16">
        <f>HYPERLINK('Link Config'!$B$2&amp;"plugins/vc/tasks/screen-inbound-opportunity.md","Capture Opportunity Intake")</f>
        <v/>
      </c>
      <c r="E10" s="15" t="inlineStr">
        <is>
          <t>Capture source context, known fields, missing information, and guided project-creation values for one venture-capital opportunity before formal screening.</t>
        </is>
      </c>
      <c r="F10" s="16">
        <f>HYPERLINK('Link Config'!$B$2&amp;"plugins/vc/agents/vc-dealflow-concierge.md","Dealflow Concierge")</f>
        <v/>
      </c>
      <c r="G10" s="16">
        <f>HYPERLINK('Link Config'!$B$2&amp;"plugins/vc/skills/pitch-deck-explainer/SKILL.md","Pitch Deck Explainer")</f>
        <v/>
      </c>
      <c r="H10" s="15" t="inlineStr"/>
      <c r="I10" s="15" t="inlineStr">
        <is>
          <t>alludium-platform
harmonic-mcp-oauth
affinity-mcp-server
exa-mcp-hosted
brave-search-mcp
serpapi-mcp
firecrawl-mcp-hosted
dealroom-mcp
google_drive</t>
        </is>
      </c>
      <c r="J10" s="15" t="inlineStr">
        <is>
          <t>screen-inbound-opportunity</t>
        </is>
      </c>
      <c r="K10" s="15" t="inlineStr">
        <is>
          <t>setup</t>
        </is>
      </c>
    </row>
    <row r="11" ht="18" customHeight="1" s="12">
      <c r="A11" s="15" t="inlineStr"/>
      <c r="B11" s="15" t="inlineStr">
        <is>
          <t>Deal Pipeline</t>
        </is>
      </c>
      <c r="C11" s="15" t="inlineStr">
        <is>
          <t>Setup</t>
        </is>
      </c>
      <c r="D11" s="15" t="inlineStr">
        <is>
          <t>Project Source Setup</t>
        </is>
      </c>
      <c r="E11" s="15" t="inlineStr">
        <is>
          <t>Review selected source route and setup intent before writes or imports.</t>
        </is>
      </c>
      <c r="F11" s="16">
        <f>HYPERLINK('Link Config'!$B$2&amp;"plugins/vc/agents/vc-deal-room-setup-guide.md","Deal Pipeline Setup Guide")</f>
        <v/>
      </c>
      <c r="G11" s="15" t="inlineStr">
        <is>
          <t>None declared</t>
        </is>
      </c>
      <c r="H11" s="15" t="inlineStr">
        <is>
          <t>None declared</t>
        </is>
      </c>
      <c r="I11" s="15" t="inlineStr">
        <is>
          <t>None declared</t>
        </is>
      </c>
      <c r="J11" s="15" t="inlineStr">
        <is>
          <t>project-source-setup</t>
        </is>
      </c>
      <c r="K11" s="15" t="inlineStr">
        <is>
          <t>setup</t>
        </is>
      </c>
    </row>
    <row r="12" ht="30" customHeight="1" s="12">
      <c r="A12" s="15" t="inlineStr"/>
      <c r="B12" s="15" t="inlineStr">
        <is>
          <t>Deal Pipeline</t>
        </is>
      </c>
      <c r="C12" s="15" t="inlineStr">
        <is>
          <t>Setup</t>
        </is>
      </c>
      <c r="D12" s="16">
        <f>HYPERLINK('Link Config'!$B$2&amp;"plugins/vc/tasks/vc-pack-variable-discovery.md","VC Pack Variable Discovery")</f>
        <v/>
      </c>
      <c r="E12" s="15" t="inlineStr">
        <is>
          <t>Best-effort, review-only discovery for VC Pack Setup variables and invite suggestions.</t>
        </is>
      </c>
      <c r="F12" s="16">
        <f>HYPERLINK('Link Config'!$B$2&amp;"plugins/vc/agents/vc-deal-room-setup-guide.md","Deal Pipeline Setup Guide")</f>
        <v/>
      </c>
      <c r="G12" s="15" t="inlineStr">
        <is>
          <t>None declared</t>
        </is>
      </c>
      <c r="H12" s="15" t="inlineStr">
        <is>
          <t>None declared</t>
        </is>
      </c>
      <c r="I12" s="15" t="inlineStr">
        <is>
          <t>alludium-platform
affinity-mcp-server</t>
        </is>
      </c>
      <c r="J12" s="15" t="inlineStr">
        <is>
          <t>vc-pack-variable-discovery</t>
        </is>
      </c>
      <c r="K12" s="15" t="inlineStr">
        <is>
          <t>setup</t>
        </is>
      </c>
    </row>
    <row r="13" ht="18" customHeight="1" s="12">
      <c r="A13" s="15" t="inlineStr"/>
      <c r="B13" s="15" t="inlineStr">
        <is>
          <t>Deal Pipeline</t>
        </is>
      </c>
      <c r="C13" s="15" t="inlineStr">
        <is>
          <t>Setup</t>
        </is>
      </c>
      <c r="D13" s="16">
        <f>HYPERLINK('Link Config'!$B$2&amp;"plugins/vc/tasks/affinity-setup.md","Set Up Affinity for Deal Pipelines")</f>
        <v/>
      </c>
      <c r="E13" s="15" t="inlineStr">
        <is>
          <t>Coordinate Affinity connection readiness, list discovery, read-preview policy, and optional write-back proposal scope for Deal Pipeline setup.</t>
        </is>
      </c>
      <c r="F13" s="16">
        <f>HYPERLINK('Link Config'!$B$2&amp;"plugins/vc/agents/vc-integration-operator.md","Integration Operator")</f>
        <v/>
      </c>
      <c r="G13" s="16">
        <f>HYPERLINK('Link Config'!$B$2&amp;"plugins/vc/skills/vc-affinity-discovery/SKILL.md","VC Affinity Discovery")</f>
        <v/>
      </c>
      <c r="H13" s="15" t="inlineStr">
        <is>
          <t>None declared</t>
        </is>
      </c>
      <c r="I13" s="15" t="inlineStr">
        <is>
          <t>affinity-mcp-server</t>
        </is>
      </c>
      <c r="J13" s="15" t="inlineStr">
        <is>
          <t>affinity-setup</t>
        </is>
      </c>
      <c r="K13" s="15" t="inlineStr">
        <is>
          <t>setup</t>
        </is>
      </c>
    </row>
    <row r="14" ht="18" customHeight="1" s="12">
      <c r="A14" s="15" t="inlineStr"/>
      <c r="B14" s="15" t="inlineStr">
        <is>
          <t>Deal Pipeline</t>
        </is>
      </c>
      <c r="C14" s="15" t="inlineStr">
        <is>
          <t>Setup</t>
        </is>
      </c>
      <c r="D14" s="16">
        <f>HYPERLINK('Link Config'!$B$2&amp;"plugins/vc/tasks/affinity-setup.md","Set Up Affinity for Deal Pipelines")</f>
        <v/>
      </c>
      <c r="E14" s="15" t="inlineStr">
        <is>
          <t>Coordinate Affinity connection readiness, list discovery, read-preview policy, and optional write-back proposal scope for Deal Pipeline setup.</t>
        </is>
      </c>
      <c r="F14" s="16">
        <f>HYPERLINK('Link Config'!$B$2&amp;"plugins/vc/agents/vc-integration-operator.md","Integration Operator")</f>
        <v/>
      </c>
      <c r="G14" s="16">
        <f>HYPERLINK('Link Config'!$B$2&amp;"plugins/vc/skills/vc-affinity-sync-read/SKILL.md","VC Affinity Sync Read")</f>
        <v/>
      </c>
      <c r="H14" s="15" t="inlineStr"/>
      <c r="I14" s="15" t="inlineStr">
        <is>
          <t>affinity-mcp-server</t>
        </is>
      </c>
      <c r="J14" s="15" t="inlineStr">
        <is>
          <t>affinity-setup</t>
        </is>
      </c>
      <c r="K14" s="15" t="inlineStr">
        <is>
          <t>setup</t>
        </is>
      </c>
    </row>
    <row r="15" ht="18" customHeight="1" s="12">
      <c r="A15" s="15" t="inlineStr"/>
      <c r="B15" s="15" t="inlineStr">
        <is>
          <t>Deal Pipeline</t>
        </is>
      </c>
      <c r="C15" s="15" t="inlineStr">
        <is>
          <t>Setup</t>
        </is>
      </c>
      <c r="D15" s="16">
        <f>HYPERLINK('Link Config'!$B$2&amp;"plugins/vc/tasks/affinity-setup.md","Set Up Affinity for Deal Pipelines")</f>
        <v/>
      </c>
      <c r="E15" s="15" t="inlineStr">
        <is>
          <t>Coordinate Affinity connection readiness, list discovery, read-preview policy, and optional write-back proposal scope for Deal Pipeline setup.</t>
        </is>
      </c>
      <c r="F15" s="16">
        <f>HYPERLINK('Link Config'!$B$2&amp;"plugins/vc/agents/vc-integration-operator.md","Integration Operator")</f>
        <v/>
      </c>
      <c r="G15" s="16">
        <f>HYPERLINK('Link Config'!$B$2&amp;"plugins/vc/skills/vc-affinity-sync-write/SKILL.md","VC Affinity Sync Write")</f>
        <v/>
      </c>
      <c r="H15" s="15" t="inlineStr"/>
      <c r="I15" s="15" t="inlineStr">
        <is>
          <t>affinity-mcp-server</t>
        </is>
      </c>
      <c r="J15" s="15" t="inlineStr">
        <is>
          <t>affinity-setup</t>
        </is>
      </c>
      <c r="K15" s="15" t="inlineStr">
        <is>
          <t>setup</t>
        </is>
      </c>
    </row>
    <row r="16" ht="18" customHeight="1" s="12">
      <c r="A16" s="15" t="inlineStr"/>
      <c r="B16" s="15" t="inlineStr">
        <is>
          <t>Deal Pipeline</t>
        </is>
      </c>
      <c r="C16" s="15" t="inlineStr">
        <is>
          <t>Setup</t>
        </is>
      </c>
      <c r="D16" s="16">
        <f>HYPERLINK('Link Config'!$B$2&amp;"plugins/vc/tasks/affinity-setup.md","Set Up Affinity for Deal Pipelines")</f>
        <v/>
      </c>
      <c r="E16" s="15" t="inlineStr">
        <is>
          <t>Coordinate Affinity connection readiness, list discovery, read-preview policy, and optional write-back proposal scope for Deal Pipeline setup.</t>
        </is>
      </c>
      <c r="F16" s="16">
        <f>HYPERLINK('Link Config'!$B$2&amp;"plugins/vc/agents/vc-integration-operator.md","Integration Operator")</f>
        <v/>
      </c>
      <c r="G16" s="16">
        <f>HYPERLINK('Link Config'!$B$2&amp;"plugins/vc/skills/citation-enforcement/SKILL.md","Citation Enforcement")</f>
        <v/>
      </c>
      <c r="H16" s="15" t="inlineStr"/>
      <c r="I16" s="15" t="inlineStr">
        <is>
          <t>affinity-mcp-server</t>
        </is>
      </c>
      <c r="J16" s="15" t="inlineStr">
        <is>
          <t>affinity-setup</t>
        </is>
      </c>
      <c r="K16" s="15" t="inlineStr">
        <is>
          <t>setup</t>
        </is>
      </c>
    </row>
    <row r="17" ht="30" customHeight="1" s="12">
      <c r="A17" s="15" t="inlineStr"/>
      <c r="B17" s="15" t="inlineStr">
        <is>
          <t>Deal Pipeline</t>
        </is>
      </c>
      <c r="C17" s="15" t="inlineStr">
        <is>
          <t>Setup</t>
        </is>
      </c>
      <c r="D17" s="16">
        <f>HYPERLINK('Link Config'!$B$2&amp;"plugins/vc/tasks/affinity-deal-room-import.md","Import Affinity Deal Pipeline Seed")</f>
        <v/>
      </c>
      <c r="E17" s="15" t="inlineStr">
        <is>
          <t>Import one approved Affinity seed deal into an already-created Deal Pipeline project with source provenance and approval evidence.</t>
        </is>
      </c>
      <c r="F17" s="16">
        <f>HYPERLINK('Link Config'!$B$2&amp;"plugins/vc/agents/vc-deal-room-setup-guide.md","Deal Pipeline Setup Guide")</f>
        <v/>
      </c>
      <c r="G17" s="16">
        <f>HYPERLINK('Link Config'!$B$2&amp;"plugins/vc/skills/vc-affinity-deal-room-import/SKILL.md","VC Affinity Deal Pipeline Import")</f>
        <v/>
      </c>
      <c r="H17" s="15" t="inlineStr">
        <is>
          <t>None declared</t>
        </is>
      </c>
      <c r="I17" s="15" t="inlineStr">
        <is>
          <t>affinity-mcp-server
alludium-platform</t>
        </is>
      </c>
      <c r="J17" s="15" t="inlineStr">
        <is>
          <t>affinity-deal-room-import</t>
        </is>
      </c>
      <c r="K17" s="15" t="inlineStr">
        <is>
          <t>setup</t>
        </is>
      </c>
    </row>
    <row r="18" ht="30" customHeight="1" s="12">
      <c r="A18" s="15" t="inlineStr"/>
      <c r="B18" s="15" t="inlineStr">
        <is>
          <t>Deal Pipeline</t>
        </is>
      </c>
      <c r="C18" s="15" t="inlineStr">
        <is>
          <t>Setup</t>
        </is>
      </c>
      <c r="D18" s="16">
        <f>HYPERLINK('Link Config'!$B$2&amp;"plugins/vc/tasks/affinity-deal-room-import.md","Import Affinity Deal Pipeline Seed")</f>
        <v/>
      </c>
      <c r="E18" s="15" t="inlineStr">
        <is>
          <t>Import one approved Affinity seed deal into an already-created Deal Pipeline project with source provenance and approval evidence.</t>
        </is>
      </c>
      <c r="F18" s="16">
        <f>HYPERLINK('Link Config'!$B$2&amp;"plugins/vc/agents/vc-deal-room-setup-guide.md","Deal Pipeline Setup Guide")</f>
        <v/>
      </c>
      <c r="G18" s="16">
        <f>HYPERLINK('Link Config'!$B$2&amp;"plugins/vc/skills/vc-affinity-sync-read/SKILL.md","VC Affinity Sync Read")</f>
        <v/>
      </c>
      <c r="H18" s="15" t="inlineStr"/>
      <c r="I18" s="15" t="inlineStr">
        <is>
          <t>affinity-mcp-server
alludium-platform</t>
        </is>
      </c>
      <c r="J18" s="15" t="inlineStr">
        <is>
          <t>affinity-deal-room-import</t>
        </is>
      </c>
      <c r="K18" s="15" t="inlineStr">
        <is>
          <t>setup</t>
        </is>
      </c>
    </row>
    <row r="19" ht="30" customHeight="1" s="12">
      <c r="A19" s="15" t="inlineStr"/>
      <c r="B19" s="15" t="inlineStr">
        <is>
          <t>Deal Pipeline</t>
        </is>
      </c>
      <c r="C19" s="15" t="inlineStr">
        <is>
          <t>Setup</t>
        </is>
      </c>
      <c r="D19" s="16">
        <f>HYPERLINK('Link Config'!$B$2&amp;"plugins/vc/tasks/affinity-deal-room-import.md","Import Affinity Deal Pipeline Seed")</f>
        <v/>
      </c>
      <c r="E19" s="15" t="inlineStr">
        <is>
          <t>Import one approved Affinity seed deal into an already-created Deal Pipeline project with source provenance and approval evidence.</t>
        </is>
      </c>
      <c r="F19" s="16">
        <f>HYPERLINK('Link Config'!$B$2&amp;"plugins/vc/agents/vc-deal-room-setup-guide.md","Deal Pipeline Setup Guide")</f>
        <v/>
      </c>
      <c r="G19" s="16">
        <f>HYPERLINK('Link Config'!$B$2&amp;"plugins/vc/skills/deal-room-setup-and-source-ingestion/SKILL.md","Deal Pipeline Setup &amp; Source Ingestion")</f>
        <v/>
      </c>
      <c r="H19" s="15" t="inlineStr"/>
      <c r="I19" s="15" t="inlineStr">
        <is>
          <t>affinity-mcp-server
alludium-platform</t>
        </is>
      </c>
      <c r="J19" s="15" t="inlineStr">
        <is>
          <t>affinity-deal-room-import</t>
        </is>
      </c>
      <c r="K19" s="15" t="inlineStr">
        <is>
          <t>setup</t>
        </is>
      </c>
    </row>
    <row r="20" ht="30" customHeight="1" s="12">
      <c r="A20" s="15" t="inlineStr"/>
      <c r="B20" s="15" t="inlineStr">
        <is>
          <t>Deal Pipeline</t>
        </is>
      </c>
      <c r="C20" s="15" t="inlineStr">
        <is>
          <t>Setup</t>
        </is>
      </c>
      <c r="D20" s="16">
        <f>HYPERLINK('Link Config'!$B$2&amp;"plugins/vc/tasks/affinity-deal-room-import.md","Import Affinity Deal Pipeline Seed")</f>
        <v/>
      </c>
      <c r="E20" s="15" t="inlineStr">
        <is>
          <t>Import one approved Affinity seed deal into an already-created Deal Pipeline project with source provenance and approval evidence.</t>
        </is>
      </c>
      <c r="F20" s="16">
        <f>HYPERLINK('Link Config'!$B$2&amp;"plugins/vc/agents/vc-deal-room-setup-guide.md","Deal Pipeline Setup Guide")</f>
        <v/>
      </c>
      <c r="G20" s="16">
        <f>HYPERLINK('Link Config'!$B$2&amp;"plugins/vc/skills/citation-enforcement/SKILL.md","Citation Enforcement")</f>
        <v/>
      </c>
      <c r="H20" s="15" t="inlineStr"/>
      <c r="I20" s="15" t="inlineStr">
        <is>
          <t>affinity-mcp-server
alludium-platform</t>
        </is>
      </c>
      <c r="J20" s="15" t="inlineStr">
        <is>
          <t>affinity-deal-room-import</t>
        </is>
      </c>
      <c r="K20" s="15" t="inlineStr">
        <is>
          <t>setup</t>
        </is>
      </c>
    </row>
    <row r="21" ht="150" customHeight="1" s="12">
      <c r="A21" s="15" t="inlineStr"/>
      <c r="B21" s="15" t="inlineStr">
        <is>
          <t>Deal Pipeline</t>
        </is>
      </c>
      <c r="C21" s="15" t="inlineStr">
        <is>
          <t>General</t>
        </is>
      </c>
      <c r="D21" s="16">
        <f>HYPERLINK('Link Config'!$B$2&amp;"plugins/vc/tasks/prepare-initial-call.md","Prepare Meeting")</f>
        <v/>
      </c>
      <c r="E21" s="15" t="inlineStr">
        <is>
          <t>Prepare a founder, management, advisor, customer, expert, partner, IC, legal, or closing meeting for one venture-capital opportunity with evidence capture, human review gates, and next-action recommendations.</t>
        </is>
      </c>
      <c r="F21" s="16">
        <f>HYPERLINK('Link Config'!$B$2&amp;"plugins/vc/agents/vc-meeting-operator.md","Meeting Operator")</f>
        <v/>
      </c>
      <c r="G21" s="16">
        <f>HYPERLINK('Link Config'!$B$2&amp;"plugins/vc/skills/meeting-prep-and-summary/SKILL.md","Meeting Prep &amp; Summary")</f>
        <v/>
      </c>
      <c r="H21" s="16">
        <f>HYPERLINK('Link Config'!$B$2&amp;"plugins/vc/alludium/documents/deal-room/initial-call-brief-template.md","Initial Call Brief Template (output_template, to initial_call_brief_artifact_id)")</f>
        <v/>
      </c>
      <c r="I21" s="15" t="inlineStr">
        <is>
          <t>alludium-platform
harmonic-mcp-oauth
affinity-mcp-server
exa-mcp-hosted
brave-search-mcp
serpapi-mcp
firecrawl-mcp-hosted
dealroom-mcp
granola-mcp
google_drive</t>
        </is>
      </c>
      <c r="J21" s="15" t="inlineStr">
        <is>
          <t>prepare-initial-call</t>
        </is>
      </c>
      <c r="K21" s="15" t="inlineStr">
        <is>
          <t>general</t>
        </is>
      </c>
    </row>
    <row r="22" ht="150" customHeight="1" s="12">
      <c r="A22" s="15" t="inlineStr"/>
      <c r="B22" s="15" t="inlineStr">
        <is>
          <t>Deal Pipeline</t>
        </is>
      </c>
      <c r="C22" s="15" t="inlineStr">
        <is>
          <t>General</t>
        </is>
      </c>
      <c r="D22" s="16">
        <f>HYPERLINK('Link Config'!$B$2&amp;"plugins/vc/tasks/prepare-initial-call.md","Prepare Meeting")</f>
        <v/>
      </c>
      <c r="E22" s="15" t="inlineStr">
        <is>
          <t>Prepare a founder, management, advisor, customer, expert, partner, IC, legal, or closing meeting for one venture-capital opportunity with evidence capture, human review gates, and next-action recommendations.</t>
        </is>
      </c>
      <c r="F22" s="16">
        <f>HYPERLINK('Link Config'!$B$2&amp;"plugins/vc/agents/vc-meeting-operator.md","Meeting Operator")</f>
        <v/>
      </c>
      <c r="G22" s="16">
        <f>HYPERLINK('Link Config'!$B$2&amp;"plugins/vc/skills/company-research-and-enrichment/SKILL.md","Company Research &amp; Enrichment")</f>
        <v/>
      </c>
      <c r="H22" s="16">
        <f>HYPERLINK('Link Config'!$B$2&amp;"plugins/vc/alludium/documents/shared/evidence-citation-style-guide.md","Evidence And Citation Style Guide (style_guide)")</f>
        <v/>
      </c>
      <c r="I22" s="15" t="inlineStr">
        <is>
          <t>alludium-platform
harmonic-mcp-oauth
affinity-mcp-server
exa-mcp-hosted
brave-search-mcp
serpapi-mcp
firecrawl-mcp-hosted
dealroom-mcp
granola-mcp
google_drive</t>
        </is>
      </c>
      <c r="J22" s="15" t="inlineStr">
        <is>
          <t>prepare-initial-call</t>
        </is>
      </c>
      <c r="K22" s="15" t="inlineStr">
        <is>
          <t>general</t>
        </is>
      </c>
    </row>
    <row r="23" ht="150" customHeight="1" s="12">
      <c r="A23" s="15" t="inlineStr"/>
      <c r="B23" s="15" t="inlineStr">
        <is>
          <t>Deal Pipeline</t>
        </is>
      </c>
      <c r="C23" s="15" t="inlineStr">
        <is>
          <t>General</t>
        </is>
      </c>
      <c r="D23" s="16">
        <f>HYPERLINK('Link Config'!$B$2&amp;"plugins/vc/tasks/prepare-initial-call.md","Prepare Meeting")</f>
        <v/>
      </c>
      <c r="E23" s="15" t="inlineStr">
        <is>
          <t>Prepare a founder, management, advisor, customer, expert, partner, IC, legal, or closing meeting for one venture-capital opportunity with evidence capture, human review gates, and next-action recommendations.</t>
        </is>
      </c>
      <c r="F23" s="16">
        <f>HYPERLINK('Link Config'!$B$2&amp;"plugins/vc/agents/vc-meeting-operator.md","Meeting Operator")</f>
        <v/>
      </c>
      <c r="G23" s="16">
        <f>HYPERLINK('Link Config'!$B$2&amp;"plugins/vc/skills/citation-enforcement/SKILL.md","Citation Enforcement")</f>
        <v/>
      </c>
      <c r="H23" s="16">
        <f>HYPERLINK('Link Config'!$B$2&amp;"plugins/vc/alludium/documents/shared/template-use-guidance.md","Template Use Guidance (operating_guidance)")</f>
        <v/>
      </c>
      <c r="I23" s="15" t="inlineStr">
        <is>
          <t>alludium-platform
harmonic-mcp-oauth
affinity-mcp-server
exa-mcp-hosted
brave-search-mcp
serpapi-mcp
firecrawl-mcp-hosted
dealroom-mcp
granola-mcp
google_drive</t>
        </is>
      </c>
      <c r="J23" s="15" t="inlineStr">
        <is>
          <t>prepare-initial-call</t>
        </is>
      </c>
      <c r="K23" s="15" t="inlineStr">
        <is>
          <t>general</t>
        </is>
      </c>
    </row>
    <row r="24" ht="150" customHeight="1" s="12">
      <c r="A24" s="15" t="inlineStr"/>
      <c r="B24" s="15" t="inlineStr">
        <is>
          <t>Deal Pipeline</t>
        </is>
      </c>
      <c r="C24" s="15" t="inlineStr">
        <is>
          <t>General</t>
        </is>
      </c>
      <c r="D24" s="16">
        <f>HYPERLINK('Link Config'!$B$2&amp;"plugins/vc/tasks/prepare-initial-call.md","Prepare Meeting")</f>
        <v/>
      </c>
      <c r="E24" s="15" t="inlineStr">
        <is>
          <t>Prepare a founder, management, advisor, customer, expert, partner, IC, legal, or closing meeting for one venture-capital opportunity with evidence capture, human review gates, and next-action recommendations.</t>
        </is>
      </c>
      <c r="F24" s="16">
        <f>HYPERLINK('Link Config'!$B$2&amp;"plugins/vc/agents/vc-meeting-operator.md","Meeting Operator")</f>
        <v/>
      </c>
      <c r="G24" s="16">
        <f>HYPERLINK('Link Config'!$B$2&amp;"plugins/vc/skills/pitch-deck-explainer/SKILL.md","Pitch Deck Explainer")</f>
        <v/>
      </c>
      <c r="H24" s="15" t="inlineStr"/>
      <c r="I24" s="15" t="inlineStr">
        <is>
          <t>alludium-platform
harmonic-mcp-oauth
affinity-mcp-server
exa-mcp-hosted
brave-search-mcp
serpapi-mcp
firecrawl-mcp-hosted
dealroom-mcp
granola-mcp
google_drive</t>
        </is>
      </c>
      <c r="J24" s="15" t="inlineStr">
        <is>
          <t>prepare-initial-call</t>
        </is>
      </c>
      <c r="K24" s="15" t="inlineStr">
        <is>
          <t>general</t>
        </is>
      </c>
    </row>
    <row r="25" ht="135" customHeight="1" s="12">
      <c r="A25" s="15" t="inlineStr">
        <is>
          <t>Alex</t>
        </is>
      </c>
      <c r="B25" s="15" t="inlineStr">
        <is>
          <t>Deal Pipeline</t>
        </is>
      </c>
      <c r="C25" s="15" t="inlineStr">
        <is>
          <t>General</t>
        </is>
      </c>
      <c r="D25" s="16">
        <f>HYPERLINK('Link Config'!$B$2&amp;"plugins/vc/tasks/request-founder-materials.md","Request Founder Materials")</f>
        <v/>
      </c>
      <c r="E25" s="15" t="inlineStr">
        <is>
          <t>Request Founder Materials for one venture-capital opportunity with evidence capture, human review gates, and next-action recommendations.</t>
        </is>
      </c>
      <c r="F25" s="16">
        <f>HYPERLINK('Link Config'!$B$2&amp;"plugins/vc/agents/vc-dealflow-concierge.md","Dealflow Concierge")</f>
        <v/>
      </c>
      <c r="G25" s="16">
        <f>HYPERLINK('Link Config'!$B$2&amp;"plugins/vc/skills/citation-enforcement/SKILL.md","Citation Enforcement")</f>
        <v/>
      </c>
      <c r="H25" s="16">
        <f>HYPERLINK('Link Config'!$B$2&amp;"plugins/vc/alludium/documents/deal-room/founder-materials-request-template.md","Founder Materials Request Template (output_template, to founder_materials_request_artifact_id)")</f>
        <v/>
      </c>
      <c r="I25" s="15" t="inlineStr">
        <is>
          <t>alludium-platform
harmonic-mcp-oauth
affinity-mcp-server
exa-mcp-hosted
brave-search-mcp
serpapi-mcp
firecrawl-mcp-hosted
dealroom-mcp
google_drive</t>
        </is>
      </c>
      <c r="J25" s="15" t="inlineStr">
        <is>
          <t>request-founder-materials</t>
        </is>
      </c>
      <c r="K25" s="15" t="inlineStr">
        <is>
          <t>general</t>
        </is>
      </c>
    </row>
    <row r="26" ht="135" customHeight="1" s="12">
      <c r="A26" s="15" t="inlineStr">
        <is>
          <t>Alex</t>
        </is>
      </c>
      <c r="B26" s="15" t="inlineStr">
        <is>
          <t>Deal Pipeline</t>
        </is>
      </c>
      <c r="C26" s="15" t="inlineStr">
        <is>
          <t>General</t>
        </is>
      </c>
      <c r="D26" s="16">
        <f>HYPERLINK('Link Config'!$B$2&amp;"plugins/vc/tasks/request-founder-materials.md","Request Founder Materials")</f>
        <v/>
      </c>
      <c r="E26" s="15" t="inlineStr">
        <is>
          <t>Request Founder Materials for one venture-capital opportunity with evidence capture, human review gates, and next-action recommendations.</t>
        </is>
      </c>
      <c r="F26" s="16">
        <f>HYPERLINK('Link Config'!$B$2&amp;"plugins/vc/agents/vc-dealflow-concierge.md","Dealflow Concierge")</f>
        <v/>
      </c>
      <c r="G26" s="16">
        <f>HYPERLINK('Link Config'!$B$2&amp;"plugins/vc/skills/founder-materials-request/SKILL.md","Founder Materials Request")</f>
        <v/>
      </c>
      <c r="H26" s="16">
        <f>HYPERLINK('Link Config'!$B$2&amp;"plugins/vc/alludium/documents/shared/file-naming-source-index-sop.md","File Naming And Source Index SOP (operating_guidance)")</f>
        <v/>
      </c>
      <c r="I26" s="15" t="inlineStr">
        <is>
          <t>alludium-platform
harmonic-mcp-oauth
affinity-mcp-server
exa-mcp-hosted
brave-search-mcp
serpapi-mcp
firecrawl-mcp-hosted
dealroom-mcp
google_drive</t>
        </is>
      </c>
      <c r="J26" s="15" t="inlineStr">
        <is>
          <t>request-founder-materials</t>
        </is>
      </c>
      <c r="K26" s="15" t="inlineStr">
        <is>
          <t>general</t>
        </is>
      </c>
    </row>
    <row r="27" ht="135" customHeight="1" s="12">
      <c r="A27" s="15" t="inlineStr">
        <is>
          <t>Alex</t>
        </is>
      </c>
      <c r="B27" s="15" t="inlineStr">
        <is>
          <t>Deal Pipeline</t>
        </is>
      </c>
      <c r="C27" s="15" t="inlineStr">
        <is>
          <t>General</t>
        </is>
      </c>
      <c r="D27" s="16">
        <f>HYPERLINK('Link Config'!$B$2&amp;"plugins/vc/tasks/request-founder-materials.md","Request Founder Materials")</f>
        <v/>
      </c>
      <c r="E27" s="15" t="inlineStr">
        <is>
          <t>Request Founder Materials for one venture-capital opportunity with evidence capture, human review gates, and next-action recommendations.</t>
        </is>
      </c>
      <c r="F27" s="16">
        <f>HYPERLINK('Link Config'!$B$2&amp;"plugins/vc/agents/vc-dealflow-concierge.md","Dealflow Concierge")</f>
        <v/>
      </c>
      <c r="G27" s="15" t="inlineStr"/>
      <c r="H27" s="16">
        <f>HYPERLINK('Link Config'!$B$2&amp;"plugins/vc/alludium/documents/shared/template-use-guidance.md","Template Use Guidance (operating_guidance)")</f>
        <v/>
      </c>
      <c r="I27" s="15" t="inlineStr">
        <is>
          <t>alludium-platform
harmonic-mcp-oauth
affinity-mcp-server
exa-mcp-hosted
brave-search-mcp
serpapi-mcp
firecrawl-mcp-hosted
dealroom-mcp
google_drive</t>
        </is>
      </c>
      <c r="J27" s="15" t="inlineStr">
        <is>
          <t>request-founder-materials</t>
        </is>
      </c>
      <c r="K27" s="15" t="inlineStr">
        <is>
          <t>general</t>
        </is>
      </c>
    </row>
    <row r="28" ht="150" customHeight="1" s="12">
      <c r="A28" s="15" t="inlineStr">
        <is>
          <t>Alex</t>
        </is>
      </c>
      <c r="B28" s="15" t="inlineStr">
        <is>
          <t>Deal Pipeline</t>
        </is>
      </c>
      <c r="C28" s="15" t="inlineStr">
        <is>
          <t>General</t>
        </is>
      </c>
      <c r="D28" s="16">
        <f>HYPERLINK('Link Config'!$B$2&amp;"plugins/vc/tasks/summarize-initial-call.md","Summarize Meeting Records")</f>
        <v/>
      </c>
      <c r="E28" s="15" t="inlineStr">
        <is>
          <t>Summarize or ingest meeting records for one venture-capital opportunity with evidence capture, human review gates, and next-action recommendations.</t>
        </is>
      </c>
      <c r="F28" s="16">
        <f>HYPERLINK('Link Config'!$B$2&amp;"plugins/vc/agents/vc-meeting-operator.md","Meeting Operator")</f>
        <v/>
      </c>
      <c r="G28" s="16">
        <f>HYPERLINK('Link Config'!$B$2&amp;"plugins/vc/skills/meeting-prep-and-summary/SKILL.md","Meeting Prep &amp; Summary")</f>
        <v/>
      </c>
      <c r="H28" s="16">
        <f>HYPERLINK('Link Config'!$B$2&amp;"plugins/vc/alludium/documents/deal-room/customer-insights-summary-template.md","Customer Insights Summary Template (output_template, to customer_insights_artifact_id)")</f>
        <v/>
      </c>
      <c r="I28" s="15" t="inlineStr">
        <is>
          <t>alludium-platform
harmonic-mcp-oauth
affinity-mcp-server
exa-mcp-hosted
brave-search-mcp
serpapi-mcp
firecrawl-mcp-hosted
dealroom-mcp
granola-mcp
google_drive</t>
        </is>
      </c>
      <c r="J28" s="15" t="inlineStr">
        <is>
          <t>summarize-initial-call</t>
        </is>
      </c>
      <c r="K28" s="15" t="inlineStr">
        <is>
          <t>general</t>
        </is>
      </c>
    </row>
    <row r="29" ht="150" customHeight="1" s="12">
      <c r="A29" s="15" t="inlineStr">
        <is>
          <t>Alex</t>
        </is>
      </c>
      <c r="B29" s="15" t="inlineStr">
        <is>
          <t>Deal Pipeline</t>
        </is>
      </c>
      <c r="C29" s="15" t="inlineStr">
        <is>
          <t>General</t>
        </is>
      </c>
      <c r="D29" s="16">
        <f>HYPERLINK('Link Config'!$B$2&amp;"plugins/vc/tasks/summarize-initial-call.md","Summarize Meeting Records")</f>
        <v/>
      </c>
      <c r="E29" s="15" t="inlineStr">
        <is>
          <t>Summarize or ingest meeting records for one venture-capital opportunity with evidence capture, human review gates, and next-action recommendations.</t>
        </is>
      </c>
      <c r="F29" s="16">
        <f>HYPERLINK('Link Config'!$B$2&amp;"plugins/vc/agents/vc-meeting-operator.md","Meeting Operator")</f>
        <v/>
      </c>
      <c r="G29" s="16">
        <f>HYPERLINK('Link Config'!$B$2&amp;"plugins/vc/skills/citation-enforcement/SKILL.md","Citation Enforcement")</f>
        <v/>
      </c>
      <c r="H29" s="16">
        <f>HYPERLINK('Link Config'!$B$2&amp;"plugins/vc/alludium/documents/shared/evidence-citation-style-guide.md","Evidence And Citation Style Guide (style_guide)")</f>
        <v/>
      </c>
      <c r="I29" s="15" t="inlineStr">
        <is>
          <t>alludium-platform
harmonic-mcp-oauth
affinity-mcp-server
exa-mcp-hosted
brave-search-mcp
serpapi-mcp
firecrawl-mcp-hosted
dealroom-mcp
granola-mcp
google_drive</t>
        </is>
      </c>
      <c r="J29" s="15" t="inlineStr">
        <is>
          <t>summarize-initial-call</t>
        </is>
      </c>
      <c r="K29" s="15" t="inlineStr">
        <is>
          <t>general</t>
        </is>
      </c>
    </row>
    <row r="30" ht="150" customHeight="1" s="12">
      <c r="A30" s="15" t="inlineStr">
        <is>
          <t>Alex</t>
        </is>
      </c>
      <c r="B30" s="15" t="inlineStr">
        <is>
          <t>Deal Pipeline</t>
        </is>
      </c>
      <c r="C30" s="15" t="inlineStr">
        <is>
          <t>General</t>
        </is>
      </c>
      <c r="D30" s="16">
        <f>HYPERLINK('Link Config'!$B$2&amp;"plugins/vc/tasks/summarize-initial-call.md","Summarize Meeting Records")</f>
        <v/>
      </c>
      <c r="E30" s="15" t="inlineStr">
        <is>
          <t>Summarize or ingest meeting records for one venture-capital opportunity with evidence capture, human review gates, and next-action recommendations.</t>
        </is>
      </c>
      <c r="F30" s="16">
        <f>HYPERLINK('Link Config'!$B$2&amp;"plugins/vc/agents/vc-meeting-operator.md","Meeting Operator")</f>
        <v/>
      </c>
      <c r="G30" s="16">
        <f>HYPERLINK('Link Config'!$B$2&amp;"plugins/vc/skills/vc-task-and-next-step-generation/SKILL.md","VC Task &amp; Next-Step Generation")</f>
        <v/>
      </c>
      <c r="H30" s="16">
        <f>HYPERLINK('Link Config'!$B$2&amp;"plugins/vc/alludium/documents/shared/template-use-guidance.md","Template Use Guidance (operating_guidance)")</f>
        <v/>
      </c>
      <c r="I30" s="15" t="inlineStr">
        <is>
          <t>alludium-platform
harmonic-mcp-oauth
affinity-mcp-server
exa-mcp-hosted
brave-search-mcp
serpapi-mcp
firecrawl-mcp-hosted
dealroom-mcp
granola-mcp
google_drive</t>
        </is>
      </c>
      <c r="J30" s="15" t="inlineStr">
        <is>
          <t>summarize-initial-call</t>
        </is>
      </c>
      <c r="K30" s="15" t="inlineStr">
        <is>
          <t>general</t>
        </is>
      </c>
    </row>
    <row r="31" ht="90" customHeight="1" s="12">
      <c r="A31" s="15" t="inlineStr"/>
      <c r="B31" s="15" t="inlineStr">
        <is>
          <t>Deal Pipeline</t>
        </is>
      </c>
      <c r="C31" s="15" t="inlineStr">
        <is>
          <t>General</t>
        </is>
      </c>
      <c r="D31" s="16">
        <f>HYPERLINK('Link Config'!$B$2&amp;"plugins/vc/tasks/review-opportunity-status.md","Review Opportunity Status")</f>
        <v/>
      </c>
      <c r="E31" s="15" t="inlineStr">
        <is>
          <t>Review the current status of one venture-capital opportunity and suggest missing inputs, stage movement, and next tasks without producing a formal investment evaluation document.</t>
        </is>
      </c>
      <c r="F31" s="16">
        <f>HYPERLINK('Link Config'!$B$2&amp;"plugins/vc/agents/vc-pipeline-autopilot.md","Pipeline Autopilot")</f>
        <v/>
      </c>
      <c r="G31" s="16">
        <f>HYPERLINK('Link Config'!$B$2&amp;"plugins/vc/skills/citation-enforcement/SKILL.md","Citation Enforcement")</f>
        <v/>
      </c>
      <c r="H31" s="16">
        <f>HYPERLINK('Link Config'!$B$2&amp;"plugins/vc/alludium/documents/deal-room/deal-room-sop.md","Deal Pipeline Operating SOP (operating_guidance)")</f>
        <v/>
      </c>
      <c r="I31" s="15" t="inlineStr">
        <is>
          <t>alludium-platform
affinity-mcp-server
exa-mcp-hosted
brave-search-mcp
serpapi-mcp
dealroom-mcp</t>
        </is>
      </c>
      <c r="J31" s="15" t="inlineStr">
        <is>
          <t>review-opportunity-status</t>
        </is>
      </c>
      <c r="K31" s="15" t="inlineStr">
        <is>
          <t>general</t>
        </is>
      </c>
    </row>
    <row r="32" ht="90" customHeight="1" s="12">
      <c r="A32" s="15" t="inlineStr"/>
      <c r="B32" s="15" t="inlineStr">
        <is>
          <t>Deal Pipeline</t>
        </is>
      </c>
      <c r="C32" s="15" t="inlineStr">
        <is>
          <t>General</t>
        </is>
      </c>
      <c r="D32" s="16">
        <f>HYPERLINK('Link Config'!$B$2&amp;"plugins/vc/tasks/review-opportunity-status.md","Review Opportunity Status")</f>
        <v/>
      </c>
      <c r="E32" s="15" t="inlineStr">
        <is>
          <t>Review the current status of one venture-capital opportunity and suggest missing inputs, stage movement, and next tasks without producing a formal investment evaluation document.</t>
        </is>
      </c>
      <c r="F32" s="16">
        <f>HYPERLINK('Link Config'!$B$2&amp;"plugins/vc/agents/vc-pipeline-autopilot.md","Pipeline Autopilot")</f>
        <v/>
      </c>
      <c r="G32" s="16">
        <f>HYPERLINK('Link Config'!$B$2&amp;"plugins/vc/skills/vc-task-and-next-step-generation/SKILL.md","VC Task &amp; Next-Step Generation")</f>
        <v/>
      </c>
      <c r="H32" s="16">
        <f>HYPERLINK('Link Config'!$B$2&amp;"plugins/vc/alludium/documents/shared/opportunity-evaluation-framework.md","Opportunity Evaluation Framework (methodology)")</f>
        <v/>
      </c>
      <c r="I32" s="15" t="inlineStr">
        <is>
          <t>alludium-platform
affinity-mcp-server
exa-mcp-hosted
brave-search-mcp
serpapi-mcp
dealroom-mcp</t>
        </is>
      </c>
      <c r="J32" s="15" t="inlineStr">
        <is>
          <t>review-opportunity-status</t>
        </is>
      </c>
      <c r="K32" s="15" t="inlineStr">
        <is>
          <t>general</t>
        </is>
      </c>
    </row>
    <row r="33" ht="90" customHeight="1" s="12">
      <c r="A33" s="15" t="inlineStr"/>
      <c r="B33" s="15" t="inlineStr">
        <is>
          <t>Deal Pipeline</t>
        </is>
      </c>
      <c r="C33" s="15" t="inlineStr">
        <is>
          <t>General</t>
        </is>
      </c>
      <c r="D33" s="16">
        <f>HYPERLINK('Link Config'!$B$2&amp;"plugins/vc/tasks/review-opportunity-status.md","Review Opportunity Status")</f>
        <v/>
      </c>
      <c r="E33" s="15" t="inlineStr">
        <is>
          <t>Review the current status of one venture-capital opportunity and suggest missing inputs, stage movement, and next tasks without producing a formal investment evaluation document.</t>
        </is>
      </c>
      <c r="F33" s="16">
        <f>HYPERLINK('Link Config'!$B$2&amp;"plugins/vc/agents/vc-pipeline-autopilot.md","Pipeline Autopilot")</f>
        <v/>
      </c>
      <c r="G33" s="15" t="inlineStr"/>
      <c r="H33" s="16">
        <f>HYPERLINK('Link Config'!$B$2&amp;"plugins/vc/alludium/documents/shared/evaluation-workstream-guide.md","Evaluation Workstream Guide (methodology)")</f>
        <v/>
      </c>
      <c r="I33" s="15" t="inlineStr">
        <is>
          <t>alludium-platform
affinity-mcp-server
exa-mcp-hosted
brave-search-mcp
serpapi-mcp
dealroom-mcp</t>
        </is>
      </c>
      <c r="J33" s="15" t="inlineStr">
        <is>
          <t>review-opportunity-status</t>
        </is>
      </c>
      <c r="K33" s="15" t="inlineStr">
        <is>
          <t>general</t>
        </is>
      </c>
    </row>
    <row r="34" ht="90" customHeight="1" s="12">
      <c r="A34" s="15" t="inlineStr"/>
      <c r="B34" s="15" t="inlineStr">
        <is>
          <t>Deal Pipeline</t>
        </is>
      </c>
      <c r="C34" s="15" t="inlineStr">
        <is>
          <t>General</t>
        </is>
      </c>
      <c r="D34" s="16">
        <f>HYPERLINK('Link Config'!$B$2&amp;"plugins/vc/tasks/review-opportunity-status.md","Review Opportunity Status")</f>
        <v/>
      </c>
      <c r="E34" s="15" t="inlineStr">
        <is>
          <t>Review the current status of one venture-capital opportunity and suggest missing inputs, stage movement, and next tasks without producing a formal investment evaluation document.</t>
        </is>
      </c>
      <c r="F34" s="16">
        <f>HYPERLINK('Link Config'!$B$2&amp;"plugins/vc/agents/vc-pipeline-autopilot.md","Pipeline Autopilot")</f>
        <v/>
      </c>
      <c r="G34" s="15" t="inlineStr"/>
      <c r="H34" s="16">
        <f>HYPERLINK('Link Config'!$B$2&amp;"plugins/vc/alludium/documents/shared/evidence-citation-style-guide.md","Evidence And Citation Style Guide (style_guide)")</f>
        <v/>
      </c>
      <c r="I34" s="15" t="inlineStr">
        <is>
          <t>alludium-platform
affinity-mcp-server
exa-mcp-hosted
brave-search-mcp
serpapi-mcp
dealroom-mcp</t>
        </is>
      </c>
      <c r="J34" s="15" t="inlineStr">
        <is>
          <t>review-opportunity-status</t>
        </is>
      </c>
      <c r="K34" s="15" t="inlineStr">
        <is>
          <t>general</t>
        </is>
      </c>
    </row>
    <row r="35" ht="90" customHeight="1" s="12">
      <c r="A35" s="15" t="inlineStr"/>
      <c r="B35" s="15" t="inlineStr">
        <is>
          <t>Deal Pipeline</t>
        </is>
      </c>
      <c r="C35" s="15" t="inlineStr">
        <is>
          <t>General</t>
        </is>
      </c>
      <c r="D35" s="16">
        <f>HYPERLINK('Link Config'!$B$2&amp;"plugins/vc/tasks/review-opportunity-status.md","Review Opportunity Status")</f>
        <v/>
      </c>
      <c r="E35" s="15" t="inlineStr">
        <is>
          <t>Review the current status of one venture-capital opportunity and suggest missing inputs, stage movement, and next tasks without producing a formal investment evaluation document.</t>
        </is>
      </c>
      <c r="F35" s="16">
        <f>HYPERLINK('Link Config'!$B$2&amp;"plugins/vc/agents/vc-pipeline-autopilot.md","Pipeline Autopilot")</f>
        <v/>
      </c>
      <c r="G35" s="15" t="inlineStr"/>
      <c r="H35" s="16">
        <f>HYPERLINK('Link Config'!$B$2&amp;"plugins/vc/alludium/documents/shared/template-use-guidance.md","Template Use Guidance (operating_guidance)")</f>
        <v/>
      </c>
      <c r="I35" s="15" t="inlineStr">
        <is>
          <t>alludium-platform
affinity-mcp-server
exa-mcp-hosted
brave-search-mcp
serpapi-mcp
dealroom-mcp</t>
        </is>
      </c>
      <c r="J35" s="15" t="inlineStr">
        <is>
          <t>review-opportunity-status</t>
        </is>
      </c>
      <c r="K35" s="15" t="inlineStr">
        <is>
          <t>general</t>
        </is>
      </c>
    </row>
    <row r="36" ht="18" customHeight="1" s="12">
      <c r="A36" s="15" t="inlineStr"/>
      <c r="B36" s="15" t="inlineStr">
        <is>
          <t>Deal Pipeline</t>
        </is>
      </c>
      <c r="C36" s="15" t="inlineStr">
        <is>
          <t>Integration Support</t>
        </is>
      </c>
      <c r="D36" s="16">
        <f>HYPERLINK('Link Config'!$B$2&amp;"plugins/vc/tasks/affinity-sync-read.md","Preview Affinity Pipeline Import")</f>
        <v/>
      </c>
      <c r="E36" s="15" t="inlineStr">
        <is>
          <t>Preview selected Affinity opportunity, company, person, note, and list-entry data before importing it into Deal Pipeline context.</t>
        </is>
      </c>
      <c r="F36" s="16">
        <f>HYPERLINK('Link Config'!$B$2&amp;"plugins/vc/agents/vc-integration-operator.md","Integration Operator")</f>
        <v/>
      </c>
      <c r="G36" s="16">
        <f>HYPERLINK('Link Config'!$B$2&amp;"plugins/vc/skills/vc-affinity-sync-read/SKILL.md","VC Affinity Sync Read")</f>
        <v/>
      </c>
      <c r="H36" s="15" t="inlineStr">
        <is>
          <t>None declared</t>
        </is>
      </c>
      <c r="I36" s="15" t="inlineStr">
        <is>
          <t>None declared</t>
        </is>
      </c>
      <c r="J36" s="15" t="inlineStr">
        <is>
          <t>affinity-sync-read</t>
        </is>
      </c>
      <c r="K36" s="15" t="inlineStr">
        <is>
          <t>project_management</t>
        </is>
      </c>
    </row>
    <row r="37" ht="18" customHeight="1" s="12">
      <c r="A37" s="15" t="inlineStr"/>
      <c r="B37" s="15" t="inlineStr">
        <is>
          <t>Deal Pipeline</t>
        </is>
      </c>
      <c r="C37" s="15" t="inlineStr">
        <is>
          <t>Integration Support</t>
        </is>
      </c>
      <c r="D37" s="16">
        <f>HYPERLINK('Link Config'!$B$2&amp;"plugins/vc/tasks/affinity-sync-read.md","Preview Affinity Pipeline Import")</f>
        <v/>
      </c>
      <c r="E37" s="15" t="inlineStr">
        <is>
          <t>Preview selected Affinity opportunity, company, person, note, and list-entry data before importing it into Deal Pipeline context.</t>
        </is>
      </c>
      <c r="F37" s="16">
        <f>HYPERLINK('Link Config'!$B$2&amp;"plugins/vc/agents/vc-integration-operator.md","Integration Operator")</f>
        <v/>
      </c>
      <c r="G37" s="16">
        <f>HYPERLINK('Link Config'!$B$2&amp;"plugins/vc/skills/citation-enforcement/SKILL.md","Citation Enforcement")</f>
        <v/>
      </c>
      <c r="H37" s="15" t="inlineStr"/>
      <c r="I37" s="15" t="inlineStr">
        <is>
          <t>None declared</t>
        </is>
      </c>
      <c r="J37" s="15" t="inlineStr">
        <is>
          <t>affinity-sync-read</t>
        </is>
      </c>
      <c r="K37" s="15" t="inlineStr">
        <is>
          <t>project_management</t>
        </is>
      </c>
    </row>
    <row r="38" ht="18" customHeight="1" s="12">
      <c r="A38" s="15" t="inlineStr"/>
      <c r="B38" s="15" t="inlineStr">
        <is>
          <t>Deal Pipeline</t>
        </is>
      </c>
      <c r="C38" s="15" t="inlineStr">
        <is>
          <t>Integration Support</t>
        </is>
      </c>
      <c r="D38" s="16">
        <f>HYPERLINK('Link Config'!$B$2&amp;"plugins/vc/tasks/affinity-sync-write.md","Draft Affinity Write-Back Proposals")</f>
        <v/>
      </c>
      <c r="E38" s="15" t="inlineStr">
        <is>
          <t>Draft reviewable Affinity note, field, and stage update proposals from VC task outputs.</t>
        </is>
      </c>
      <c r="F38" s="16">
        <f>HYPERLINK('Link Config'!$B$2&amp;"plugins/vc/agents/vc-integration-operator.md","Integration Operator")</f>
        <v/>
      </c>
      <c r="G38" s="16">
        <f>HYPERLINK('Link Config'!$B$2&amp;"plugins/vc/skills/vc-affinity-sync-write/SKILL.md","VC Affinity Sync Write")</f>
        <v/>
      </c>
      <c r="H38" s="15" t="inlineStr">
        <is>
          <t>None declared</t>
        </is>
      </c>
      <c r="I38" s="15" t="inlineStr">
        <is>
          <t>None declared</t>
        </is>
      </c>
      <c r="J38" s="15" t="inlineStr">
        <is>
          <t>affinity-sync-write</t>
        </is>
      </c>
      <c r="K38" s="15" t="inlineStr">
        <is>
          <t>project_management</t>
        </is>
      </c>
    </row>
    <row r="39" ht="18" customHeight="1" s="12">
      <c r="A39" s="15" t="inlineStr"/>
      <c r="B39" s="15" t="inlineStr">
        <is>
          <t>Deal Pipeline</t>
        </is>
      </c>
      <c r="C39" s="15" t="inlineStr">
        <is>
          <t>Integration Support</t>
        </is>
      </c>
      <c r="D39" s="16">
        <f>HYPERLINK('Link Config'!$B$2&amp;"plugins/vc/tasks/affinity-sync-write.md","Draft Affinity Write-Back Proposals")</f>
        <v/>
      </c>
      <c r="E39" s="15" t="inlineStr">
        <is>
          <t>Draft reviewable Affinity note, field, and stage update proposals from VC task outputs.</t>
        </is>
      </c>
      <c r="F39" s="16">
        <f>HYPERLINK('Link Config'!$B$2&amp;"plugins/vc/agents/vc-integration-operator.md","Integration Operator")</f>
        <v/>
      </c>
      <c r="G39" s="16">
        <f>HYPERLINK('Link Config'!$B$2&amp;"plugins/vc/skills/citation-enforcement/SKILL.md","Citation Enforcement")</f>
        <v/>
      </c>
      <c r="H39" s="15" t="inlineStr"/>
      <c r="I39" s="15" t="inlineStr">
        <is>
          <t>None declared</t>
        </is>
      </c>
      <c r="J39" s="15" t="inlineStr">
        <is>
          <t>affinity-sync-write</t>
        </is>
      </c>
      <c r="K39" s="15" t="inlineStr">
        <is>
          <t>project_management</t>
        </is>
      </c>
    </row>
    <row r="40" ht="18" customHeight="1" s="12">
      <c r="A40" s="15" t="inlineStr"/>
      <c r="B40" s="15" t="inlineStr">
        <is>
          <t>Deal Pipeline</t>
        </is>
      </c>
      <c r="C40" s="15" t="inlineStr">
        <is>
          <t>Integration Support</t>
        </is>
      </c>
      <c r="D40" s="16">
        <f>HYPERLINK('Link Config'!$B$2&amp;"plugins/vc/tasks/google-drive-sync-write.md","Draft Google Drive File Proposals")</f>
        <v/>
      </c>
      <c r="E40" s="15" t="inlineStr">
        <is>
          <t>Draft reviewable Google Drive file or comment proposals from VC task outputs without performing broad Drive mutations.</t>
        </is>
      </c>
      <c r="F40" s="16">
        <f>HYPERLINK('Link Config'!$B$2&amp;"plugins/vc/agents/vc-integration-operator.md","Integration Operator")</f>
        <v/>
      </c>
      <c r="G40" s="16">
        <f>HYPERLINK('Link Config'!$B$2&amp;"plugins/vc/skills/vc-google-drive-sync-write/SKILL.md","VC Google Drive Sync Write")</f>
        <v/>
      </c>
      <c r="H40" s="15" t="inlineStr">
        <is>
          <t>None declared</t>
        </is>
      </c>
      <c r="I40" s="15" t="inlineStr">
        <is>
          <t>None declared</t>
        </is>
      </c>
      <c r="J40" s="15" t="inlineStr">
        <is>
          <t>google-drive-sync-write</t>
        </is>
      </c>
      <c r="K40" s="15" t="inlineStr">
        <is>
          <t>project_management</t>
        </is>
      </c>
    </row>
    <row r="41" ht="18" customHeight="1" s="12">
      <c r="A41" s="15" t="inlineStr"/>
      <c r="B41" s="15" t="inlineStr">
        <is>
          <t>Deal Pipeline</t>
        </is>
      </c>
      <c r="C41" s="15" t="inlineStr">
        <is>
          <t>Integration Support</t>
        </is>
      </c>
      <c r="D41" s="16">
        <f>HYPERLINK('Link Config'!$B$2&amp;"plugins/vc/tasks/google-drive-sync-write.md","Draft Google Drive File Proposals")</f>
        <v/>
      </c>
      <c r="E41" s="15" t="inlineStr">
        <is>
          <t>Draft reviewable Google Drive file or comment proposals from VC task outputs without performing broad Drive mutations.</t>
        </is>
      </c>
      <c r="F41" s="16">
        <f>HYPERLINK('Link Config'!$B$2&amp;"plugins/vc/agents/vc-integration-operator.md","Integration Operator")</f>
        <v/>
      </c>
      <c r="G41" s="16">
        <f>HYPERLINK('Link Config'!$B$2&amp;"plugins/vc/skills/citation-enforcement/SKILL.md","Citation Enforcement")</f>
        <v/>
      </c>
      <c r="H41" s="15" t="inlineStr"/>
      <c r="I41" s="15" t="inlineStr">
        <is>
          <t>None declared</t>
        </is>
      </c>
      <c r="J41" s="15" t="inlineStr">
        <is>
          <t>google-drive-sync-write</t>
        </is>
      </c>
      <c r="K41" s="15" t="inlineStr">
        <is>
          <t>project_management</t>
        </is>
      </c>
    </row>
    <row r="42" ht="18" customHeight="1" s="12">
      <c r="A42" s="15" t="inlineStr"/>
      <c r="B42" s="15" t="inlineStr">
        <is>
          <t>Deal Pipeline</t>
        </is>
      </c>
      <c r="C42" s="15" t="inlineStr">
        <is>
          <t>Integration Support</t>
        </is>
      </c>
      <c r="D42" s="16">
        <f>HYPERLINK('Link Config'!$B$2&amp;"plugins/vc/tasks/notion-sync-write.md","Draft Notion Update Proposals")</f>
        <v/>
      </c>
      <c r="E42" s="15" t="inlineStr">
        <is>
          <t>Draft reviewable Notion page, database, or comment proposals from VC task outputs without performing broad workspace mutation.</t>
        </is>
      </c>
      <c r="F42" s="16">
        <f>HYPERLINK('Link Config'!$B$2&amp;"plugins/vc/agents/vc-integration-operator.md","Integration Operator")</f>
        <v/>
      </c>
      <c r="G42" s="16">
        <f>HYPERLINK('Link Config'!$B$2&amp;"plugins/vc/skills/vc-notion-sync-write/SKILL.md","VC Notion Sync Write")</f>
        <v/>
      </c>
      <c r="H42" s="15" t="inlineStr">
        <is>
          <t>None declared</t>
        </is>
      </c>
      <c r="I42" s="15" t="inlineStr">
        <is>
          <t>None declared</t>
        </is>
      </c>
      <c r="J42" s="15" t="inlineStr">
        <is>
          <t>notion-sync-write</t>
        </is>
      </c>
      <c r="K42" s="15" t="inlineStr">
        <is>
          <t>project_management</t>
        </is>
      </c>
    </row>
    <row r="43" ht="18" customHeight="1" s="12">
      <c r="A43" s="15" t="inlineStr"/>
      <c r="B43" s="15" t="inlineStr">
        <is>
          <t>Deal Pipeline</t>
        </is>
      </c>
      <c r="C43" s="15" t="inlineStr">
        <is>
          <t>Integration Support</t>
        </is>
      </c>
      <c r="D43" s="16">
        <f>HYPERLINK('Link Config'!$B$2&amp;"plugins/vc/tasks/notion-sync-write.md","Draft Notion Update Proposals")</f>
        <v/>
      </c>
      <c r="E43" s="15" t="inlineStr">
        <is>
          <t>Draft reviewable Notion page, database, or comment proposals from VC task outputs without performing broad workspace mutation.</t>
        </is>
      </c>
      <c r="F43" s="16">
        <f>HYPERLINK('Link Config'!$B$2&amp;"plugins/vc/agents/vc-integration-operator.md","Integration Operator")</f>
        <v/>
      </c>
      <c r="G43" s="16">
        <f>HYPERLINK('Link Config'!$B$2&amp;"plugins/vc/skills/citation-enforcement/SKILL.md","Citation Enforcement")</f>
        <v/>
      </c>
      <c r="H43" s="15" t="inlineStr"/>
      <c r="I43" s="15" t="inlineStr">
        <is>
          <t>None declared</t>
        </is>
      </c>
      <c r="J43" s="15" t="inlineStr">
        <is>
          <t>notion-sync-write</t>
        </is>
      </c>
      <c r="K43" s="15" t="inlineStr">
        <is>
          <t>project_management</t>
        </is>
      </c>
    </row>
    <row r="44" ht="18" customHeight="1" s="12">
      <c r="A44" s="15" t="inlineStr"/>
      <c r="B44" s="15" t="inlineStr">
        <is>
          <t>Deal Pipeline</t>
        </is>
      </c>
      <c r="C44" s="15" t="inlineStr">
        <is>
          <t>Integration Support</t>
        </is>
      </c>
      <c r="D44" s="16">
        <f>HYPERLINK('Link Config'!$B$2&amp;"plugins/vc/tasks/slack-sync-write.md","Draft Slack Handoff Notifications")</f>
        <v/>
      </c>
      <c r="E44" s="15" t="inlineStr">
        <is>
          <t>Draft approved Slack handoff notifications for VC workflows without broad posting.</t>
        </is>
      </c>
      <c r="F44" s="16">
        <f>HYPERLINK('Link Config'!$B$2&amp;"plugins/vc/agents/vc-integration-operator.md","Integration Operator")</f>
        <v/>
      </c>
      <c r="G44" s="16">
        <f>HYPERLINK('Link Config'!$B$2&amp;"plugins/vc/skills/vc-slack-sync-write/SKILL.md","VC Slack Sync Write")</f>
        <v/>
      </c>
      <c r="H44" s="15" t="inlineStr">
        <is>
          <t>None declared</t>
        </is>
      </c>
      <c r="I44" s="15" t="inlineStr">
        <is>
          <t>None declared</t>
        </is>
      </c>
      <c r="J44" s="15" t="inlineStr">
        <is>
          <t>slack-sync-write</t>
        </is>
      </c>
      <c r="K44" s="15" t="inlineStr">
        <is>
          <t>project_management</t>
        </is>
      </c>
    </row>
    <row r="45" ht="18" customHeight="1" s="12">
      <c r="A45" s="15" t="inlineStr"/>
      <c r="B45" s="15" t="inlineStr">
        <is>
          <t>Deal Pipeline</t>
        </is>
      </c>
      <c r="C45" s="15" t="inlineStr">
        <is>
          <t>Integration Support</t>
        </is>
      </c>
      <c r="D45" s="16">
        <f>HYPERLINK('Link Config'!$B$2&amp;"plugins/vc/tasks/slack-sync-write.md","Draft Slack Handoff Notifications")</f>
        <v/>
      </c>
      <c r="E45" s="15" t="inlineStr">
        <is>
          <t>Draft approved Slack handoff notifications for VC workflows without broad posting.</t>
        </is>
      </c>
      <c r="F45" s="16">
        <f>HYPERLINK('Link Config'!$B$2&amp;"plugins/vc/agents/vc-integration-operator.md","Integration Operator")</f>
        <v/>
      </c>
      <c r="G45" s="16">
        <f>HYPERLINK('Link Config'!$B$2&amp;"plugins/vc/skills/citation-enforcement/SKILL.md","Citation Enforcement")</f>
        <v/>
      </c>
      <c r="H45" s="15" t="inlineStr"/>
      <c r="I45" s="15" t="inlineStr">
        <is>
          <t>None declared</t>
        </is>
      </c>
      <c r="J45" s="15" t="inlineStr">
        <is>
          <t>slack-sync-write</t>
        </is>
      </c>
      <c r="K45" s="15" t="inlineStr">
        <is>
          <t>project_management</t>
        </is>
      </c>
    </row>
    <row r="46" ht="18" customHeight="1" s="12">
      <c r="A46" s="15" t="inlineStr"/>
      <c r="B46" s="15" t="inlineStr">
        <is>
          <t>Deal Pipeline</t>
        </is>
      </c>
      <c r="C46" s="15" t="inlineStr">
        <is>
          <t>Integration Support</t>
        </is>
      </c>
      <c r="D46" s="16">
        <f>HYPERLINK('Link Config'!$B$2&amp;"plugins/vc/tasks/affinity-discovery.md","Explore Affinity Lists and Stages")</f>
        <v/>
      </c>
      <c r="E46" s="15" t="inlineStr">
        <is>
          <t>Discover Affinity list, stage, field, and object-count scope before Deal Pipeline import or sync.</t>
        </is>
      </c>
      <c r="F46" s="16">
        <f>HYPERLINK('Link Config'!$B$2&amp;"plugins/vc/agents/vc-integration-operator.md","Integration Operator")</f>
        <v/>
      </c>
      <c r="G46" s="16">
        <f>HYPERLINK('Link Config'!$B$2&amp;"plugins/vc/skills/vc-affinity-discovery/SKILL.md","VC Affinity Discovery")</f>
        <v/>
      </c>
      <c r="H46" s="15" t="inlineStr">
        <is>
          <t>None declared</t>
        </is>
      </c>
      <c r="I46" s="15" t="inlineStr">
        <is>
          <t>None declared</t>
        </is>
      </c>
      <c r="J46" s="15" t="inlineStr">
        <is>
          <t>affinity-discovery</t>
        </is>
      </c>
      <c r="K46" s="15" t="inlineStr">
        <is>
          <t>project_management</t>
        </is>
      </c>
    </row>
    <row r="47" ht="18" customHeight="1" s="12">
      <c r="A47" s="15" t="inlineStr"/>
      <c r="B47" s="15" t="inlineStr">
        <is>
          <t>Deal Pipeline</t>
        </is>
      </c>
      <c r="C47" s="15" t="inlineStr">
        <is>
          <t>Integration Support</t>
        </is>
      </c>
      <c r="D47" s="16">
        <f>HYPERLINK('Link Config'!$B$2&amp;"plugins/vc/tasks/affinity-discovery.md","Explore Affinity Lists and Stages")</f>
        <v/>
      </c>
      <c r="E47" s="15" t="inlineStr">
        <is>
          <t>Discover Affinity list, stage, field, and object-count scope before Deal Pipeline import or sync.</t>
        </is>
      </c>
      <c r="F47" s="16">
        <f>HYPERLINK('Link Config'!$B$2&amp;"plugins/vc/agents/vc-integration-operator.md","Integration Operator")</f>
        <v/>
      </c>
      <c r="G47" s="16">
        <f>HYPERLINK('Link Config'!$B$2&amp;"plugins/vc/skills/citation-enforcement/SKILL.md","Citation Enforcement")</f>
        <v/>
      </c>
      <c r="H47" s="15" t="inlineStr"/>
      <c r="I47" s="15" t="inlineStr">
        <is>
          <t>None declared</t>
        </is>
      </c>
      <c r="J47" s="15" t="inlineStr">
        <is>
          <t>affinity-discovery</t>
        </is>
      </c>
      <c r="K47" s="15" t="inlineStr">
        <is>
          <t>project_management</t>
        </is>
      </c>
    </row>
    <row r="48" ht="18" customHeight="1" s="12">
      <c r="A48" s="15" t="inlineStr"/>
      <c r="B48" s="15" t="inlineStr">
        <is>
          <t>Deal Pipeline</t>
        </is>
      </c>
      <c r="C48" s="15" t="inlineStr">
        <is>
          <t>Integration Support</t>
        </is>
      </c>
      <c r="D48" s="16">
        <f>HYPERLINK('Link Config'!$B$2&amp;"plugins/vc/tasks/google-drive-discovery.md","Explore Google Drive Sources")</f>
        <v/>
      </c>
      <c r="E48" s="15" t="inlineStr">
        <is>
          <t>Discover Google Drive shared drive, folder, and file scope before selected Deal Pipeline context reads.</t>
        </is>
      </c>
      <c r="F48" s="16">
        <f>HYPERLINK('Link Config'!$B$2&amp;"plugins/vc/agents/vc-integration-operator.md","Integration Operator")</f>
        <v/>
      </c>
      <c r="G48" s="16">
        <f>HYPERLINK('Link Config'!$B$2&amp;"plugins/vc/skills/vc-google-drive-discovery/SKILL.md","VC Google Drive Discovery")</f>
        <v/>
      </c>
      <c r="H48" s="15" t="inlineStr">
        <is>
          <t>None declared</t>
        </is>
      </c>
      <c r="I48" s="15" t="inlineStr">
        <is>
          <t>None declared</t>
        </is>
      </c>
      <c r="J48" s="15" t="inlineStr">
        <is>
          <t>google-drive-discovery</t>
        </is>
      </c>
      <c r="K48" s="15" t="inlineStr">
        <is>
          <t>project_management</t>
        </is>
      </c>
    </row>
    <row r="49" ht="18" customHeight="1" s="12">
      <c r="A49" s="15" t="inlineStr"/>
      <c r="B49" s="15" t="inlineStr">
        <is>
          <t>Deal Pipeline</t>
        </is>
      </c>
      <c r="C49" s="15" t="inlineStr">
        <is>
          <t>Integration Support</t>
        </is>
      </c>
      <c r="D49" s="16">
        <f>HYPERLINK('Link Config'!$B$2&amp;"plugins/vc/tasks/google-drive-discovery.md","Explore Google Drive Sources")</f>
        <v/>
      </c>
      <c r="E49" s="15" t="inlineStr">
        <is>
          <t>Discover Google Drive shared drive, folder, and file scope before selected Deal Pipeline context reads.</t>
        </is>
      </c>
      <c r="F49" s="16">
        <f>HYPERLINK('Link Config'!$B$2&amp;"plugins/vc/agents/vc-integration-operator.md","Integration Operator")</f>
        <v/>
      </c>
      <c r="G49" s="16">
        <f>HYPERLINK('Link Config'!$B$2&amp;"plugins/vc/skills/citation-enforcement/SKILL.md","Citation Enforcement")</f>
        <v/>
      </c>
      <c r="H49" s="15" t="inlineStr"/>
      <c r="I49" s="15" t="inlineStr">
        <is>
          <t>None declared</t>
        </is>
      </c>
      <c r="J49" s="15" t="inlineStr">
        <is>
          <t>google-drive-discovery</t>
        </is>
      </c>
      <c r="K49" s="15" t="inlineStr">
        <is>
          <t>project_management</t>
        </is>
      </c>
    </row>
    <row r="50" ht="18" customHeight="1" s="12">
      <c r="A50" s="15" t="inlineStr"/>
      <c r="B50" s="15" t="inlineStr">
        <is>
          <t>Deal Pipeline</t>
        </is>
      </c>
      <c r="C50" s="15" t="inlineStr">
        <is>
          <t>Integration Support</t>
        </is>
      </c>
      <c r="D50" s="16">
        <f>HYPERLINK('Link Config'!$B$2&amp;"plugins/vc/tasks/harmonic-discovery.md","Explore Harmonic Source Scopes")</f>
        <v/>
      </c>
      <c r="E50" s="15" t="inlineStr">
        <is>
          <t>Discover Harmonic saved searches, daily searches, and source scope before selected VC sourcing context reads.</t>
        </is>
      </c>
      <c r="F50" s="16">
        <f>HYPERLINK('Link Config'!$B$2&amp;"plugins/vc/agents/vc-integration-operator.md","Integration Operator")</f>
        <v/>
      </c>
      <c r="G50" s="16">
        <f>HYPERLINK('Link Config'!$B$2&amp;"plugins/vc/skills/vc-harmonic-discovery/SKILL.md","VC Harmonic Discovery")</f>
        <v/>
      </c>
      <c r="H50" s="15" t="inlineStr">
        <is>
          <t>None declared</t>
        </is>
      </c>
      <c r="I50" s="15" t="inlineStr">
        <is>
          <t>None declared</t>
        </is>
      </c>
      <c r="J50" s="15" t="inlineStr">
        <is>
          <t>harmonic-discovery</t>
        </is>
      </c>
      <c r="K50" s="15" t="inlineStr">
        <is>
          <t>project_management</t>
        </is>
      </c>
    </row>
    <row r="51" ht="18" customHeight="1" s="12">
      <c r="A51" s="15" t="inlineStr"/>
      <c r="B51" s="15" t="inlineStr">
        <is>
          <t>Deal Pipeline</t>
        </is>
      </c>
      <c r="C51" s="15" t="inlineStr">
        <is>
          <t>Integration Support</t>
        </is>
      </c>
      <c r="D51" s="16">
        <f>HYPERLINK('Link Config'!$B$2&amp;"plugins/vc/tasks/harmonic-discovery.md","Explore Harmonic Source Scopes")</f>
        <v/>
      </c>
      <c r="E51" s="15" t="inlineStr">
        <is>
          <t>Discover Harmonic saved searches, daily searches, and source scope before selected VC sourcing context reads.</t>
        </is>
      </c>
      <c r="F51" s="16">
        <f>HYPERLINK('Link Config'!$B$2&amp;"plugins/vc/agents/vc-integration-operator.md","Integration Operator")</f>
        <v/>
      </c>
      <c r="G51" s="16">
        <f>HYPERLINK('Link Config'!$B$2&amp;"plugins/vc/skills/citation-enforcement/SKILL.md","Citation Enforcement")</f>
        <v/>
      </c>
      <c r="H51" s="15" t="inlineStr"/>
      <c r="I51" s="15" t="inlineStr">
        <is>
          <t>None declared</t>
        </is>
      </c>
      <c r="J51" s="15" t="inlineStr">
        <is>
          <t>harmonic-discovery</t>
        </is>
      </c>
      <c r="K51" s="15" t="inlineStr">
        <is>
          <t>project_management</t>
        </is>
      </c>
    </row>
    <row r="52" ht="18" customHeight="1" s="12">
      <c r="A52" s="15" t="inlineStr"/>
      <c r="B52" s="15" t="inlineStr">
        <is>
          <t>Deal Pipeline</t>
        </is>
      </c>
      <c r="C52" s="15" t="inlineStr">
        <is>
          <t>Integration Support</t>
        </is>
      </c>
      <c r="D52" s="16">
        <f>HYPERLINK('Link Config'!$B$2&amp;"plugins/vc/tasks/notion-discovery.md","Explore Notion Pages and Databases")</f>
        <v/>
      </c>
      <c r="E52" s="15" t="inlineStr">
        <is>
          <t>Discover Notion page, database, and workspace scope before selected Deal Pipeline context reads.</t>
        </is>
      </c>
      <c r="F52" s="16">
        <f>HYPERLINK('Link Config'!$B$2&amp;"plugins/vc/agents/vc-integration-operator.md","Integration Operator")</f>
        <v/>
      </c>
      <c r="G52" s="16">
        <f>HYPERLINK('Link Config'!$B$2&amp;"plugins/vc/skills/vc-notion-discovery/SKILL.md","VC Notion Discovery")</f>
        <v/>
      </c>
      <c r="H52" s="15" t="inlineStr">
        <is>
          <t>None declared</t>
        </is>
      </c>
      <c r="I52" s="15" t="inlineStr">
        <is>
          <t>None declared</t>
        </is>
      </c>
      <c r="J52" s="15" t="inlineStr">
        <is>
          <t>notion-discovery</t>
        </is>
      </c>
      <c r="K52" s="15" t="inlineStr">
        <is>
          <t>project_management</t>
        </is>
      </c>
    </row>
    <row r="53" ht="18" customHeight="1" s="12">
      <c r="A53" s="15" t="inlineStr"/>
      <c r="B53" s="15" t="inlineStr">
        <is>
          <t>Deal Pipeline</t>
        </is>
      </c>
      <c r="C53" s="15" t="inlineStr">
        <is>
          <t>Integration Support</t>
        </is>
      </c>
      <c r="D53" s="16">
        <f>HYPERLINK('Link Config'!$B$2&amp;"plugins/vc/tasks/notion-discovery.md","Explore Notion Pages and Databases")</f>
        <v/>
      </c>
      <c r="E53" s="15" t="inlineStr">
        <is>
          <t>Discover Notion page, database, and workspace scope before selected Deal Pipeline context reads.</t>
        </is>
      </c>
      <c r="F53" s="16">
        <f>HYPERLINK('Link Config'!$B$2&amp;"plugins/vc/agents/vc-integration-operator.md","Integration Operator")</f>
        <v/>
      </c>
      <c r="G53" s="16">
        <f>HYPERLINK('Link Config'!$B$2&amp;"plugins/vc/skills/citation-enforcement/SKILL.md","Citation Enforcement")</f>
        <v/>
      </c>
      <c r="H53" s="15" t="inlineStr"/>
      <c r="I53" s="15" t="inlineStr">
        <is>
          <t>None declared</t>
        </is>
      </c>
      <c r="J53" s="15" t="inlineStr">
        <is>
          <t>notion-discovery</t>
        </is>
      </c>
      <c r="K53" s="15" t="inlineStr">
        <is>
          <t>project_management</t>
        </is>
      </c>
    </row>
    <row r="54" ht="18" customHeight="1" s="12">
      <c r="A54" s="15" t="inlineStr"/>
      <c r="B54" s="15" t="inlineStr">
        <is>
          <t>Deal Pipeline</t>
        </is>
      </c>
      <c r="C54" s="15" t="inlineStr">
        <is>
          <t>Integration Support</t>
        </is>
      </c>
      <c r="D54" s="16">
        <f>HYPERLINK('Link Config'!$B$2&amp;"plugins/vc/tasks/slack-discovery.md","Explore Slack Channels for VC Context")</f>
        <v/>
      </c>
      <c r="E54" s="15" t="inlineStr">
        <is>
          <t>Discover Slack workspace and channel scope before selected VC context reads or handoff notifications.</t>
        </is>
      </c>
      <c r="F54" s="16">
        <f>HYPERLINK('Link Config'!$B$2&amp;"plugins/vc/agents/vc-integration-operator.md","Integration Operator")</f>
        <v/>
      </c>
      <c r="G54" s="16">
        <f>HYPERLINK('Link Config'!$B$2&amp;"plugins/vc/skills/vc-slack-discovery/SKILL.md","VC Slack Discovery")</f>
        <v/>
      </c>
      <c r="H54" s="15" t="inlineStr">
        <is>
          <t>None declared</t>
        </is>
      </c>
      <c r="I54" s="15" t="inlineStr">
        <is>
          <t>None declared</t>
        </is>
      </c>
      <c r="J54" s="15" t="inlineStr">
        <is>
          <t>slack-discovery</t>
        </is>
      </c>
      <c r="K54" s="15" t="inlineStr">
        <is>
          <t>project_management</t>
        </is>
      </c>
    </row>
    <row r="55" ht="18" customHeight="1" s="12">
      <c r="A55" s="15" t="inlineStr"/>
      <c r="B55" s="15" t="inlineStr">
        <is>
          <t>Deal Pipeline</t>
        </is>
      </c>
      <c r="C55" s="15" t="inlineStr">
        <is>
          <t>Integration Support</t>
        </is>
      </c>
      <c r="D55" s="16">
        <f>HYPERLINK('Link Config'!$B$2&amp;"plugins/vc/tasks/slack-discovery.md","Explore Slack Channels for VC Context")</f>
        <v/>
      </c>
      <c r="E55" s="15" t="inlineStr">
        <is>
          <t>Discover Slack workspace and channel scope before selected VC context reads or handoff notifications.</t>
        </is>
      </c>
      <c r="F55" s="16">
        <f>HYPERLINK('Link Config'!$B$2&amp;"plugins/vc/agents/vc-integration-operator.md","Integration Operator")</f>
        <v/>
      </c>
      <c r="G55" s="16">
        <f>HYPERLINK('Link Config'!$B$2&amp;"plugins/vc/skills/citation-enforcement/SKILL.md","Citation Enforcement")</f>
        <v/>
      </c>
      <c r="H55" s="15" t="inlineStr"/>
      <c r="I55" s="15" t="inlineStr">
        <is>
          <t>None declared</t>
        </is>
      </c>
      <c r="J55" s="15" t="inlineStr">
        <is>
          <t>slack-discovery</t>
        </is>
      </c>
      <c r="K55" s="15" t="inlineStr">
        <is>
          <t>project_management</t>
        </is>
      </c>
    </row>
    <row r="56" ht="90" customHeight="1" s="12">
      <c r="A56" s="15" t="inlineStr"/>
      <c r="B56" s="15" t="inlineStr">
        <is>
          <t>Deal Pipeline</t>
        </is>
      </c>
      <c r="C56" s="15" t="inlineStr">
        <is>
          <t>Pipeline Management</t>
        </is>
      </c>
      <c r="D56" s="16">
        <f>HYPERLINK('Link Config'!$B$2&amp;"plugins/vc/tasks/prepare-deal-flow-agenda.md","Prepare Deal Flow Agenda")</f>
        <v/>
      </c>
      <c r="E56" s="15" t="inlineStr">
        <is>
          <t>Prepare Deal Flow Agenda for one venture-capital opportunity with evidence capture, human review gates, and next-action recommendations.</t>
        </is>
      </c>
      <c r="F56" s="16">
        <f>HYPERLINK('Link Config'!$B$2&amp;"plugins/vc/agents/vc-pipeline-autopilot.md","Pipeline Autopilot")</f>
        <v/>
      </c>
      <c r="G56" s="16">
        <f>HYPERLINK('Link Config'!$B$2&amp;"plugins/vc/skills/citation-enforcement/SKILL.md","Citation Enforcement")</f>
        <v/>
      </c>
      <c r="H56" s="15" t="inlineStr">
        <is>
          <t>None declared</t>
        </is>
      </c>
      <c r="I56" s="15" t="inlineStr">
        <is>
          <t>alludium-platform
affinity-mcp-server
exa-mcp-hosted
brave-search-mcp
serpapi-mcp
dealroom-mcp</t>
        </is>
      </c>
      <c r="J56" s="15" t="inlineStr">
        <is>
          <t>prepare-deal-flow-agenda</t>
        </is>
      </c>
      <c r="K56" s="15" t="inlineStr">
        <is>
          <t>project_management</t>
        </is>
      </c>
    </row>
    <row r="57" ht="90" customHeight="1" s="12">
      <c r="A57" s="15" t="inlineStr"/>
      <c r="B57" s="15" t="inlineStr">
        <is>
          <t>Deal Pipeline</t>
        </is>
      </c>
      <c r="C57" s="15" t="inlineStr">
        <is>
          <t>Pipeline Management</t>
        </is>
      </c>
      <c r="D57" s="16">
        <f>HYPERLINK('Link Config'!$B$2&amp;"plugins/vc/tasks/prepare-deal-flow-agenda.md","Prepare Deal Flow Agenda")</f>
        <v/>
      </c>
      <c r="E57" s="15" t="inlineStr">
        <is>
          <t>Prepare Deal Flow Agenda for one venture-capital opportunity with evidence capture, human review gates, and next-action recommendations.</t>
        </is>
      </c>
      <c r="F57" s="16">
        <f>HYPERLINK('Link Config'!$B$2&amp;"plugins/vc/agents/vc-pipeline-autopilot.md","Pipeline Autopilot")</f>
        <v/>
      </c>
      <c r="G57" s="16">
        <f>HYPERLINK('Link Config'!$B$2&amp;"plugins/vc/skills/vc-task-and-next-step-generation/SKILL.md","VC Task &amp; Next-Step Generation")</f>
        <v/>
      </c>
      <c r="H57" s="15" t="inlineStr"/>
      <c r="I57" s="15" t="inlineStr">
        <is>
          <t>alludium-platform
affinity-mcp-server
exa-mcp-hosted
brave-search-mcp
serpapi-mcp
dealroom-mcp</t>
        </is>
      </c>
      <c r="J57" s="15" t="inlineStr">
        <is>
          <t>prepare-deal-flow-agenda</t>
        </is>
      </c>
      <c r="K57" s="15" t="inlineStr">
        <is>
          <t>project_management</t>
        </is>
      </c>
    </row>
    <row r="58" ht="18" customHeight="1" s="12">
      <c r="A58" s="15" t="inlineStr"/>
      <c r="B58" s="15" t="inlineStr">
        <is>
          <t>Deal Pipeline</t>
        </is>
      </c>
      <c r="C58" s="15" t="inlineStr">
        <is>
          <t>Integration Support</t>
        </is>
      </c>
      <c r="D58" s="16">
        <f>HYPERLINK('Link Config'!$B$2&amp;"plugins/vc/tasks/google-drive-sync-read.md","Preview Google Drive Context")</f>
        <v/>
      </c>
      <c r="E58" s="15" t="inlineStr">
        <is>
          <t>Preview selected Google Drive file, folder, and document context before attaching or importing it into Deal Pipeline tasks.</t>
        </is>
      </c>
      <c r="F58" s="16">
        <f>HYPERLINK('Link Config'!$B$2&amp;"plugins/vc/agents/vc-integration-operator.md","Integration Operator")</f>
        <v/>
      </c>
      <c r="G58" s="16">
        <f>HYPERLINK('Link Config'!$B$2&amp;"plugins/vc/skills/vc-google-drive-sync-read/SKILL.md","VC Google Drive Sync Read")</f>
        <v/>
      </c>
      <c r="H58" s="15" t="inlineStr">
        <is>
          <t>None declared</t>
        </is>
      </c>
      <c r="I58" s="15" t="inlineStr">
        <is>
          <t>None declared</t>
        </is>
      </c>
      <c r="J58" s="15" t="inlineStr">
        <is>
          <t>google-drive-sync-read</t>
        </is>
      </c>
      <c r="K58" s="15" t="inlineStr">
        <is>
          <t>project_management</t>
        </is>
      </c>
    </row>
    <row r="59" ht="18" customHeight="1" s="12">
      <c r="A59" s="15" t="inlineStr"/>
      <c r="B59" s="15" t="inlineStr">
        <is>
          <t>Deal Pipeline</t>
        </is>
      </c>
      <c r="C59" s="15" t="inlineStr">
        <is>
          <t>Integration Support</t>
        </is>
      </c>
      <c r="D59" s="16">
        <f>HYPERLINK('Link Config'!$B$2&amp;"plugins/vc/tasks/google-drive-sync-read.md","Preview Google Drive Context")</f>
        <v/>
      </c>
      <c r="E59" s="15" t="inlineStr">
        <is>
          <t>Preview selected Google Drive file, folder, and document context before attaching or importing it into Deal Pipeline tasks.</t>
        </is>
      </c>
      <c r="F59" s="16">
        <f>HYPERLINK('Link Config'!$B$2&amp;"plugins/vc/agents/vc-integration-operator.md","Integration Operator")</f>
        <v/>
      </c>
      <c r="G59" s="16">
        <f>HYPERLINK('Link Config'!$B$2&amp;"plugins/vc/skills/citation-enforcement/SKILL.md","Citation Enforcement")</f>
        <v/>
      </c>
      <c r="H59" s="15" t="inlineStr"/>
      <c r="I59" s="15" t="inlineStr">
        <is>
          <t>None declared</t>
        </is>
      </c>
      <c r="J59" s="15" t="inlineStr">
        <is>
          <t>google-drive-sync-read</t>
        </is>
      </c>
      <c r="K59" s="15" t="inlineStr">
        <is>
          <t>project_management</t>
        </is>
      </c>
    </row>
    <row r="60" ht="18" customHeight="1" s="12">
      <c r="A60" s="15" t="inlineStr"/>
      <c r="B60" s="15" t="inlineStr">
        <is>
          <t>Deal Pipeline</t>
        </is>
      </c>
      <c r="C60" s="15" t="inlineStr">
        <is>
          <t>Integration Support</t>
        </is>
      </c>
      <c r="D60" s="16">
        <f>HYPERLINK('Link Config'!$B$2&amp;"plugins/vc/tasks/harmonic-sync-read.md","Preview Harmonic Search Results")</f>
        <v/>
      </c>
      <c r="E60" s="15" t="inlineStr">
        <is>
          <t>Preview selected Harmonic company or saved-search results before using them as VC sourcing or screening context.</t>
        </is>
      </c>
      <c r="F60" s="16">
        <f>HYPERLINK('Link Config'!$B$2&amp;"plugins/vc/agents/vc-integration-operator.md","Integration Operator")</f>
        <v/>
      </c>
      <c r="G60" s="16">
        <f>HYPERLINK('Link Config'!$B$2&amp;"plugins/vc/skills/vc-harmonic-sync-read/SKILL.md","VC Harmonic Sync Read")</f>
        <v/>
      </c>
      <c r="H60" s="15" t="inlineStr">
        <is>
          <t>None declared</t>
        </is>
      </c>
      <c r="I60" s="15" t="inlineStr">
        <is>
          <t>None declared</t>
        </is>
      </c>
      <c r="J60" s="15" t="inlineStr">
        <is>
          <t>harmonic-sync-read</t>
        </is>
      </c>
      <c r="K60" s="15" t="inlineStr">
        <is>
          <t>project_management</t>
        </is>
      </c>
    </row>
    <row r="61" ht="18" customHeight="1" s="12">
      <c r="A61" s="15" t="inlineStr"/>
      <c r="B61" s="15" t="inlineStr">
        <is>
          <t>Deal Pipeline</t>
        </is>
      </c>
      <c r="C61" s="15" t="inlineStr">
        <is>
          <t>Integration Support</t>
        </is>
      </c>
      <c r="D61" s="16">
        <f>HYPERLINK('Link Config'!$B$2&amp;"plugins/vc/tasks/harmonic-sync-read.md","Preview Harmonic Search Results")</f>
        <v/>
      </c>
      <c r="E61" s="15" t="inlineStr">
        <is>
          <t>Preview selected Harmonic company or saved-search results before using them as VC sourcing or screening context.</t>
        </is>
      </c>
      <c r="F61" s="16">
        <f>HYPERLINK('Link Config'!$B$2&amp;"plugins/vc/agents/vc-integration-operator.md","Integration Operator")</f>
        <v/>
      </c>
      <c r="G61" s="16">
        <f>HYPERLINK('Link Config'!$B$2&amp;"plugins/vc/skills/citation-enforcement/SKILL.md","Citation Enforcement")</f>
        <v/>
      </c>
      <c r="H61" s="15" t="inlineStr"/>
      <c r="I61" s="15" t="inlineStr">
        <is>
          <t>None declared</t>
        </is>
      </c>
      <c r="J61" s="15" t="inlineStr">
        <is>
          <t>harmonic-sync-read</t>
        </is>
      </c>
      <c r="K61" s="15" t="inlineStr">
        <is>
          <t>project_management</t>
        </is>
      </c>
    </row>
    <row r="62" ht="18" customHeight="1" s="12">
      <c r="A62" s="15" t="inlineStr"/>
      <c r="B62" s="15" t="inlineStr">
        <is>
          <t>Deal Pipeline</t>
        </is>
      </c>
      <c r="C62" s="15" t="inlineStr">
        <is>
          <t>Integration Support</t>
        </is>
      </c>
      <c r="D62" s="16">
        <f>HYPERLINK('Link Config'!$B$2&amp;"plugins/vc/tasks/notion-sync-read.md","Preview Notion Context")</f>
        <v/>
      </c>
      <c r="E62" s="15" t="inlineStr">
        <is>
          <t>Preview selected Notion page, block, property, and database content before attaching it to Deal Pipeline tasks.</t>
        </is>
      </c>
      <c r="F62" s="16">
        <f>HYPERLINK('Link Config'!$B$2&amp;"plugins/vc/agents/vc-integration-operator.md","Integration Operator")</f>
        <v/>
      </c>
      <c r="G62" s="16">
        <f>HYPERLINK('Link Config'!$B$2&amp;"plugins/vc/skills/vc-notion-sync-read/SKILL.md","VC Notion Sync Read")</f>
        <v/>
      </c>
      <c r="H62" s="15" t="inlineStr">
        <is>
          <t>None declared</t>
        </is>
      </c>
      <c r="I62" s="15" t="inlineStr">
        <is>
          <t>None declared</t>
        </is>
      </c>
      <c r="J62" s="15" t="inlineStr">
        <is>
          <t>notion-sync-read</t>
        </is>
      </c>
      <c r="K62" s="15" t="inlineStr">
        <is>
          <t>project_management</t>
        </is>
      </c>
    </row>
    <row r="63" ht="18" customHeight="1" s="12">
      <c r="A63" s="15" t="inlineStr"/>
      <c r="B63" s="15" t="inlineStr">
        <is>
          <t>Deal Pipeline</t>
        </is>
      </c>
      <c r="C63" s="15" t="inlineStr">
        <is>
          <t>Integration Support</t>
        </is>
      </c>
      <c r="D63" s="16">
        <f>HYPERLINK('Link Config'!$B$2&amp;"plugins/vc/tasks/notion-sync-read.md","Preview Notion Context")</f>
        <v/>
      </c>
      <c r="E63" s="15" t="inlineStr">
        <is>
          <t>Preview selected Notion page, block, property, and database content before attaching it to Deal Pipeline tasks.</t>
        </is>
      </c>
      <c r="F63" s="16">
        <f>HYPERLINK('Link Config'!$B$2&amp;"plugins/vc/agents/vc-integration-operator.md","Integration Operator")</f>
        <v/>
      </c>
      <c r="G63" s="16">
        <f>HYPERLINK('Link Config'!$B$2&amp;"plugins/vc/skills/citation-enforcement/SKILL.md","Citation Enforcement")</f>
        <v/>
      </c>
      <c r="H63" s="15" t="inlineStr"/>
      <c r="I63" s="15" t="inlineStr">
        <is>
          <t>None declared</t>
        </is>
      </c>
      <c r="J63" s="15" t="inlineStr">
        <is>
          <t>notion-sync-read</t>
        </is>
      </c>
      <c r="K63" s="15" t="inlineStr">
        <is>
          <t>project_management</t>
        </is>
      </c>
    </row>
    <row r="64" ht="18" customHeight="1" s="12">
      <c r="A64" s="15" t="inlineStr"/>
      <c r="B64" s="15" t="inlineStr">
        <is>
          <t>Deal Pipeline</t>
        </is>
      </c>
      <c r="C64" s="15" t="inlineStr">
        <is>
          <t>Integration Support</t>
        </is>
      </c>
      <c r="D64" s="16">
        <f>HYPERLINK('Link Config'!$B$2&amp;"plugins/vc/tasks/slack-sync-read.md","Preview Slack Deal Context")</f>
        <v/>
      </c>
      <c r="E64" s="15" t="inlineStr">
        <is>
          <t>Preview selected Slack channel, thread, message, and file context for Deal Pipeline tasks.</t>
        </is>
      </c>
      <c r="F64" s="16">
        <f>HYPERLINK('Link Config'!$B$2&amp;"plugins/vc/agents/vc-integration-operator.md","Integration Operator")</f>
        <v/>
      </c>
      <c r="G64" s="16">
        <f>HYPERLINK('Link Config'!$B$2&amp;"plugins/vc/skills/vc-slack-sync-read/SKILL.md","VC Slack Sync Read")</f>
        <v/>
      </c>
      <c r="H64" s="15" t="inlineStr">
        <is>
          <t>None declared</t>
        </is>
      </c>
      <c r="I64" s="15" t="inlineStr">
        <is>
          <t>None declared</t>
        </is>
      </c>
      <c r="J64" s="15" t="inlineStr">
        <is>
          <t>slack-sync-read</t>
        </is>
      </c>
      <c r="K64" s="15" t="inlineStr">
        <is>
          <t>project_management</t>
        </is>
      </c>
    </row>
    <row r="65" ht="18" customHeight="1" s="12">
      <c r="A65" s="15" t="inlineStr"/>
      <c r="B65" s="15" t="inlineStr">
        <is>
          <t>Deal Pipeline</t>
        </is>
      </c>
      <c r="C65" s="15" t="inlineStr">
        <is>
          <t>Integration Support</t>
        </is>
      </c>
      <c r="D65" s="16">
        <f>HYPERLINK('Link Config'!$B$2&amp;"plugins/vc/tasks/slack-sync-read.md","Preview Slack Deal Context")</f>
        <v/>
      </c>
      <c r="E65" s="15" t="inlineStr">
        <is>
          <t>Preview selected Slack channel, thread, message, and file context for Deal Pipeline tasks.</t>
        </is>
      </c>
      <c r="F65" s="16">
        <f>HYPERLINK('Link Config'!$B$2&amp;"plugins/vc/agents/vc-integration-operator.md","Integration Operator")</f>
        <v/>
      </c>
      <c r="G65" s="16">
        <f>HYPERLINK('Link Config'!$B$2&amp;"plugins/vc/skills/citation-enforcement/SKILL.md","Citation Enforcement")</f>
        <v/>
      </c>
      <c r="H65" s="15" t="inlineStr"/>
      <c r="I65" s="15" t="inlineStr">
        <is>
          <t>None declared</t>
        </is>
      </c>
      <c r="J65" s="15" t="inlineStr">
        <is>
          <t>slack-sync-read</t>
        </is>
      </c>
      <c r="K65" s="15" t="inlineStr">
        <is>
          <t>project_management</t>
        </is>
      </c>
    </row>
    <row r="66" ht="18" customHeight="1" s="12">
      <c r="A66" s="15" t="inlineStr"/>
      <c r="B66" s="15" t="inlineStr">
        <is>
          <t>Deal Pipeline</t>
        </is>
      </c>
      <c r="C66" s="15" t="inlineStr">
        <is>
          <t>Integration Support</t>
        </is>
      </c>
      <c r="D66" s="16">
        <f>HYPERLINK('Link Config'!$B$2&amp;"plugins/vc/tasks/google-drive-setup.md","Set Up Google Drive for Deal Pipelines")</f>
        <v/>
      </c>
      <c r="E66" s="15" t="inlineStr">
        <is>
          <t>Coordinate Google Drive connection readiness, folder discovery, read-preview policy, and optional file proposal scope for Deal Pipeline setup.</t>
        </is>
      </c>
      <c r="F66" s="16">
        <f>HYPERLINK('Link Config'!$B$2&amp;"plugins/vc/agents/vc-integration-operator.md","Integration Operator")</f>
        <v/>
      </c>
      <c r="G66" s="16">
        <f>HYPERLINK('Link Config'!$B$2&amp;"plugins/vc/skills/vc-google-drive-discovery/SKILL.md","VC Google Drive Discovery")</f>
        <v/>
      </c>
      <c r="H66" s="15" t="inlineStr">
        <is>
          <t>None declared</t>
        </is>
      </c>
      <c r="I66" s="15" t="inlineStr">
        <is>
          <t>google_drive</t>
        </is>
      </c>
      <c r="J66" s="15" t="inlineStr">
        <is>
          <t>google-drive-setup</t>
        </is>
      </c>
      <c r="K66" s="15" t="inlineStr">
        <is>
          <t>project_management</t>
        </is>
      </c>
    </row>
    <row r="67" ht="18" customHeight="1" s="12">
      <c r="A67" s="15" t="inlineStr"/>
      <c r="B67" s="15" t="inlineStr">
        <is>
          <t>Deal Pipeline</t>
        </is>
      </c>
      <c r="C67" s="15" t="inlineStr">
        <is>
          <t>Integration Support</t>
        </is>
      </c>
      <c r="D67" s="16">
        <f>HYPERLINK('Link Config'!$B$2&amp;"plugins/vc/tasks/google-drive-setup.md","Set Up Google Drive for Deal Pipelines")</f>
        <v/>
      </c>
      <c r="E67" s="15" t="inlineStr">
        <is>
          <t>Coordinate Google Drive connection readiness, folder discovery, read-preview policy, and optional file proposal scope for Deal Pipeline setup.</t>
        </is>
      </c>
      <c r="F67" s="16">
        <f>HYPERLINK('Link Config'!$B$2&amp;"plugins/vc/agents/vc-integration-operator.md","Integration Operator")</f>
        <v/>
      </c>
      <c r="G67" s="16">
        <f>HYPERLINK('Link Config'!$B$2&amp;"plugins/vc/skills/vc-google-drive-sync-read/SKILL.md","VC Google Drive Sync Read")</f>
        <v/>
      </c>
      <c r="H67" s="15" t="inlineStr"/>
      <c r="I67" s="15" t="inlineStr">
        <is>
          <t>google_drive</t>
        </is>
      </c>
      <c r="J67" s="15" t="inlineStr">
        <is>
          <t>google-drive-setup</t>
        </is>
      </c>
      <c r="K67" s="15" t="inlineStr">
        <is>
          <t>project_management</t>
        </is>
      </c>
    </row>
    <row r="68" ht="18" customHeight="1" s="12">
      <c r="A68" s="15" t="inlineStr"/>
      <c r="B68" s="15" t="inlineStr">
        <is>
          <t>Deal Pipeline</t>
        </is>
      </c>
      <c r="C68" s="15" t="inlineStr">
        <is>
          <t>Integration Support</t>
        </is>
      </c>
      <c r="D68" s="16">
        <f>HYPERLINK('Link Config'!$B$2&amp;"plugins/vc/tasks/google-drive-setup.md","Set Up Google Drive for Deal Pipelines")</f>
        <v/>
      </c>
      <c r="E68" s="15" t="inlineStr">
        <is>
          <t>Coordinate Google Drive connection readiness, folder discovery, read-preview policy, and optional file proposal scope for Deal Pipeline setup.</t>
        </is>
      </c>
      <c r="F68" s="16">
        <f>HYPERLINK('Link Config'!$B$2&amp;"plugins/vc/agents/vc-integration-operator.md","Integration Operator")</f>
        <v/>
      </c>
      <c r="G68" s="16">
        <f>HYPERLINK('Link Config'!$B$2&amp;"plugins/vc/skills/vc-google-drive-sync-write/SKILL.md","VC Google Drive Sync Write")</f>
        <v/>
      </c>
      <c r="H68" s="15" t="inlineStr"/>
      <c r="I68" s="15" t="inlineStr">
        <is>
          <t>google_drive</t>
        </is>
      </c>
      <c r="J68" s="15" t="inlineStr">
        <is>
          <t>google-drive-setup</t>
        </is>
      </c>
      <c r="K68" s="15" t="inlineStr">
        <is>
          <t>project_management</t>
        </is>
      </c>
    </row>
    <row r="69" ht="18" customHeight="1" s="12">
      <c r="A69" s="15" t="inlineStr"/>
      <c r="B69" s="15" t="inlineStr">
        <is>
          <t>Deal Pipeline</t>
        </is>
      </c>
      <c r="C69" s="15" t="inlineStr">
        <is>
          <t>Integration Support</t>
        </is>
      </c>
      <c r="D69" s="16">
        <f>HYPERLINK('Link Config'!$B$2&amp;"plugins/vc/tasks/google-drive-setup.md","Set Up Google Drive for Deal Pipelines")</f>
        <v/>
      </c>
      <c r="E69" s="15" t="inlineStr">
        <is>
          <t>Coordinate Google Drive connection readiness, folder discovery, read-preview policy, and optional file proposal scope for Deal Pipeline setup.</t>
        </is>
      </c>
      <c r="F69" s="16">
        <f>HYPERLINK('Link Config'!$B$2&amp;"plugins/vc/agents/vc-integration-operator.md","Integration Operator")</f>
        <v/>
      </c>
      <c r="G69" s="16">
        <f>HYPERLINK('Link Config'!$B$2&amp;"plugins/vc/skills/citation-enforcement/SKILL.md","Citation Enforcement")</f>
        <v/>
      </c>
      <c r="H69" s="15" t="inlineStr"/>
      <c r="I69" s="15" t="inlineStr">
        <is>
          <t>google_drive</t>
        </is>
      </c>
      <c r="J69" s="15" t="inlineStr">
        <is>
          <t>google-drive-setup</t>
        </is>
      </c>
      <c r="K69" s="15" t="inlineStr">
        <is>
          <t>project_management</t>
        </is>
      </c>
    </row>
    <row r="70" ht="18" customHeight="1" s="12">
      <c r="A70" s="15" t="inlineStr"/>
      <c r="B70" s="15" t="inlineStr">
        <is>
          <t>Deal Pipeline</t>
        </is>
      </c>
      <c r="C70" s="15" t="inlineStr">
        <is>
          <t>Integration Support</t>
        </is>
      </c>
      <c r="D70" s="16">
        <f>HYPERLINK('Link Config'!$B$2&amp;"plugins/vc/tasks/harmonic-setup.md","Set Up Harmonic for Deal Pipelines")</f>
        <v/>
      </c>
      <c r="E70" s="15" t="inlineStr">
        <is>
          <t>Coordinate Harmonic connection readiness, saved-search discovery, and read-preview policy for Deal Pipeline setup.</t>
        </is>
      </c>
      <c r="F70" s="16">
        <f>HYPERLINK('Link Config'!$B$2&amp;"plugins/vc/agents/vc-integration-operator.md","Integration Operator")</f>
        <v/>
      </c>
      <c r="G70" s="16">
        <f>HYPERLINK('Link Config'!$B$2&amp;"plugins/vc/skills/vc-harmonic-discovery/SKILL.md","VC Harmonic Discovery")</f>
        <v/>
      </c>
      <c r="H70" s="15" t="inlineStr">
        <is>
          <t>None declared</t>
        </is>
      </c>
      <c r="I70" s="15" t="inlineStr">
        <is>
          <t>harmonic-mcp-oauth</t>
        </is>
      </c>
      <c r="J70" s="15" t="inlineStr">
        <is>
          <t>harmonic-setup</t>
        </is>
      </c>
      <c r="K70" s="15" t="inlineStr">
        <is>
          <t>project_management</t>
        </is>
      </c>
    </row>
    <row r="71" ht="18" customHeight="1" s="12">
      <c r="A71" s="15" t="inlineStr"/>
      <c r="B71" s="15" t="inlineStr">
        <is>
          <t>Deal Pipeline</t>
        </is>
      </c>
      <c r="C71" s="15" t="inlineStr">
        <is>
          <t>Integration Support</t>
        </is>
      </c>
      <c r="D71" s="16">
        <f>HYPERLINK('Link Config'!$B$2&amp;"plugins/vc/tasks/harmonic-setup.md","Set Up Harmonic for Deal Pipelines")</f>
        <v/>
      </c>
      <c r="E71" s="15" t="inlineStr">
        <is>
          <t>Coordinate Harmonic connection readiness, saved-search discovery, and read-preview policy for Deal Pipeline setup.</t>
        </is>
      </c>
      <c r="F71" s="16">
        <f>HYPERLINK('Link Config'!$B$2&amp;"plugins/vc/agents/vc-integration-operator.md","Integration Operator")</f>
        <v/>
      </c>
      <c r="G71" s="16">
        <f>HYPERLINK('Link Config'!$B$2&amp;"plugins/vc/skills/vc-harmonic-sync-read/SKILL.md","VC Harmonic Sync Read")</f>
        <v/>
      </c>
      <c r="H71" s="15" t="inlineStr"/>
      <c r="I71" s="15" t="inlineStr">
        <is>
          <t>harmonic-mcp-oauth</t>
        </is>
      </c>
      <c r="J71" s="15" t="inlineStr">
        <is>
          <t>harmonic-setup</t>
        </is>
      </c>
      <c r="K71" s="15" t="inlineStr">
        <is>
          <t>project_management</t>
        </is>
      </c>
    </row>
    <row r="72" ht="18" customHeight="1" s="12">
      <c r="A72" s="15" t="inlineStr"/>
      <c r="B72" s="15" t="inlineStr">
        <is>
          <t>Deal Pipeline</t>
        </is>
      </c>
      <c r="C72" s="15" t="inlineStr">
        <is>
          <t>Integration Support</t>
        </is>
      </c>
      <c r="D72" s="16">
        <f>HYPERLINK('Link Config'!$B$2&amp;"plugins/vc/tasks/harmonic-setup.md","Set Up Harmonic for Deal Pipelines")</f>
        <v/>
      </c>
      <c r="E72" s="15" t="inlineStr">
        <is>
          <t>Coordinate Harmonic connection readiness, saved-search discovery, and read-preview policy for Deal Pipeline setup.</t>
        </is>
      </c>
      <c r="F72" s="16">
        <f>HYPERLINK('Link Config'!$B$2&amp;"plugins/vc/agents/vc-integration-operator.md","Integration Operator")</f>
        <v/>
      </c>
      <c r="G72" s="16">
        <f>HYPERLINK('Link Config'!$B$2&amp;"plugins/vc/skills/citation-enforcement/SKILL.md","Citation Enforcement")</f>
        <v/>
      </c>
      <c r="H72" s="15" t="inlineStr"/>
      <c r="I72" s="15" t="inlineStr">
        <is>
          <t>harmonic-mcp-oauth</t>
        </is>
      </c>
      <c r="J72" s="15" t="inlineStr">
        <is>
          <t>harmonic-setup</t>
        </is>
      </c>
      <c r="K72" s="15" t="inlineStr">
        <is>
          <t>project_management</t>
        </is>
      </c>
    </row>
    <row r="73" ht="18" customHeight="1" s="12">
      <c r="A73" s="15" t="inlineStr"/>
      <c r="B73" s="15" t="inlineStr">
        <is>
          <t>Deal Pipeline</t>
        </is>
      </c>
      <c r="C73" s="15" t="inlineStr">
        <is>
          <t>Integration Support</t>
        </is>
      </c>
      <c r="D73" s="16">
        <f>HYPERLINK('Link Config'!$B$2&amp;"plugins/vc/tasks/notion-setup.md","Set Up Notion for Deal Pipelines")</f>
        <v/>
      </c>
      <c r="E73" s="15" t="inlineStr">
        <is>
          <t>Coordinate Notion connection readiness, page/database discovery, read-preview policy, and optional update-proposal scope for Deal Pipeline setup.</t>
        </is>
      </c>
      <c r="F73" s="16">
        <f>HYPERLINK('Link Config'!$B$2&amp;"plugins/vc/agents/vc-integration-operator.md","Integration Operator")</f>
        <v/>
      </c>
      <c r="G73" s="16">
        <f>HYPERLINK('Link Config'!$B$2&amp;"plugins/vc/skills/vc-notion-discovery/SKILL.md","VC Notion Discovery")</f>
        <v/>
      </c>
      <c r="H73" s="15" t="inlineStr">
        <is>
          <t>None declared</t>
        </is>
      </c>
      <c r="I73" s="15" t="inlineStr">
        <is>
          <t>notion</t>
        </is>
      </c>
      <c r="J73" s="15" t="inlineStr">
        <is>
          <t>notion-setup</t>
        </is>
      </c>
      <c r="K73" s="15" t="inlineStr">
        <is>
          <t>project_management</t>
        </is>
      </c>
    </row>
    <row r="74" ht="18" customHeight="1" s="12">
      <c r="A74" s="15" t="inlineStr"/>
      <c r="B74" s="15" t="inlineStr">
        <is>
          <t>Deal Pipeline</t>
        </is>
      </c>
      <c r="C74" s="15" t="inlineStr">
        <is>
          <t>Integration Support</t>
        </is>
      </c>
      <c r="D74" s="16">
        <f>HYPERLINK('Link Config'!$B$2&amp;"plugins/vc/tasks/notion-setup.md","Set Up Notion for Deal Pipelines")</f>
        <v/>
      </c>
      <c r="E74" s="15" t="inlineStr">
        <is>
          <t>Coordinate Notion connection readiness, page/database discovery, read-preview policy, and optional update-proposal scope for Deal Pipeline setup.</t>
        </is>
      </c>
      <c r="F74" s="16">
        <f>HYPERLINK('Link Config'!$B$2&amp;"plugins/vc/agents/vc-integration-operator.md","Integration Operator")</f>
        <v/>
      </c>
      <c r="G74" s="16">
        <f>HYPERLINK('Link Config'!$B$2&amp;"plugins/vc/skills/vc-notion-sync-read/SKILL.md","VC Notion Sync Read")</f>
        <v/>
      </c>
      <c r="H74" s="15" t="inlineStr"/>
      <c r="I74" s="15" t="inlineStr">
        <is>
          <t>notion</t>
        </is>
      </c>
      <c r="J74" s="15" t="inlineStr">
        <is>
          <t>notion-setup</t>
        </is>
      </c>
      <c r="K74" s="15" t="inlineStr">
        <is>
          <t>project_management</t>
        </is>
      </c>
    </row>
    <row r="75" ht="18" customHeight="1" s="12">
      <c r="A75" s="15" t="inlineStr"/>
      <c r="B75" s="15" t="inlineStr">
        <is>
          <t>Deal Pipeline</t>
        </is>
      </c>
      <c r="C75" s="15" t="inlineStr">
        <is>
          <t>Integration Support</t>
        </is>
      </c>
      <c r="D75" s="16">
        <f>HYPERLINK('Link Config'!$B$2&amp;"plugins/vc/tasks/notion-setup.md","Set Up Notion for Deal Pipelines")</f>
        <v/>
      </c>
      <c r="E75" s="15" t="inlineStr">
        <is>
          <t>Coordinate Notion connection readiness, page/database discovery, read-preview policy, and optional update-proposal scope for Deal Pipeline setup.</t>
        </is>
      </c>
      <c r="F75" s="16">
        <f>HYPERLINK('Link Config'!$B$2&amp;"plugins/vc/agents/vc-integration-operator.md","Integration Operator")</f>
        <v/>
      </c>
      <c r="G75" s="16">
        <f>HYPERLINK('Link Config'!$B$2&amp;"plugins/vc/skills/vc-notion-sync-write/SKILL.md","VC Notion Sync Write")</f>
        <v/>
      </c>
      <c r="H75" s="15" t="inlineStr"/>
      <c r="I75" s="15" t="inlineStr">
        <is>
          <t>notion</t>
        </is>
      </c>
      <c r="J75" s="15" t="inlineStr">
        <is>
          <t>notion-setup</t>
        </is>
      </c>
      <c r="K75" s="15" t="inlineStr">
        <is>
          <t>project_management</t>
        </is>
      </c>
    </row>
    <row r="76" ht="18" customHeight="1" s="12">
      <c r="A76" s="15" t="inlineStr"/>
      <c r="B76" s="15" t="inlineStr">
        <is>
          <t>Deal Pipeline</t>
        </is>
      </c>
      <c r="C76" s="15" t="inlineStr">
        <is>
          <t>Integration Support</t>
        </is>
      </c>
      <c r="D76" s="16">
        <f>HYPERLINK('Link Config'!$B$2&amp;"plugins/vc/tasks/notion-setup.md","Set Up Notion for Deal Pipelines")</f>
        <v/>
      </c>
      <c r="E76" s="15" t="inlineStr">
        <is>
          <t>Coordinate Notion connection readiness, page/database discovery, read-preview policy, and optional update-proposal scope for Deal Pipeline setup.</t>
        </is>
      </c>
      <c r="F76" s="16">
        <f>HYPERLINK('Link Config'!$B$2&amp;"plugins/vc/agents/vc-integration-operator.md","Integration Operator")</f>
        <v/>
      </c>
      <c r="G76" s="16">
        <f>HYPERLINK('Link Config'!$B$2&amp;"plugins/vc/skills/citation-enforcement/SKILL.md","Citation Enforcement")</f>
        <v/>
      </c>
      <c r="H76" s="15" t="inlineStr"/>
      <c r="I76" s="15" t="inlineStr">
        <is>
          <t>notion</t>
        </is>
      </c>
      <c r="J76" s="15" t="inlineStr">
        <is>
          <t>notion-setup</t>
        </is>
      </c>
      <c r="K76" s="15" t="inlineStr">
        <is>
          <t>project_management</t>
        </is>
      </c>
    </row>
    <row r="77" ht="18" customHeight="1" s="12">
      <c r="A77" s="15" t="inlineStr"/>
      <c r="B77" s="15" t="inlineStr">
        <is>
          <t>Deal Pipeline</t>
        </is>
      </c>
      <c r="C77" s="15" t="inlineStr">
        <is>
          <t>Integration Support</t>
        </is>
      </c>
      <c r="D77" s="16">
        <f>HYPERLINK('Link Config'!$B$2&amp;"plugins/vc/tasks/slack-setup.md","Set Up Slack for Deal Pipelines")</f>
        <v/>
      </c>
      <c r="E77" s="15" t="inlineStr">
        <is>
          <t>Coordinate Slack connection readiness, channel discovery, read-preview policy, and optional notification proposal scope for Deal Pipeline setup.</t>
        </is>
      </c>
      <c r="F77" s="16">
        <f>HYPERLINK('Link Config'!$B$2&amp;"plugins/vc/agents/vc-integration-operator.md","Integration Operator")</f>
        <v/>
      </c>
      <c r="G77" s="16">
        <f>HYPERLINK('Link Config'!$B$2&amp;"plugins/vc/skills/vc-slack-discovery/SKILL.md","VC Slack Discovery")</f>
        <v/>
      </c>
      <c r="H77" s="15" t="inlineStr">
        <is>
          <t>None declared</t>
        </is>
      </c>
      <c r="I77" s="15" t="inlineStr">
        <is>
          <t>slack_v2</t>
        </is>
      </c>
      <c r="J77" s="15" t="inlineStr">
        <is>
          <t>slack-setup</t>
        </is>
      </c>
      <c r="K77" s="15" t="inlineStr">
        <is>
          <t>project_management</t>
        </is>
      </c>
    </row>
    <row r="78" ht="18" customHeight="1" s="12">
      <c r="A78" s="15" t="inlineStr"/>
      <c r="B78" s="15" t="inlineStr">
        <is>
          <t>Deal Pipeline</t>
        </is>
      </c>
      <c r="C78" s="15" t="inlineStr">
        <is>
          <t>Integration Support</t>
        </is>
      </c>
      <c r="D78" s="16">
        <f>HYPERLINK('Link Config'!$B$2&amp;"plugins/vc/tasks/slack-setup.md","Set Up Slack for Deal Pipelines")</f>
        <v/>
      </c>
      <c r="E78" s="15" t="inlineStr">
        <is>
          <t>Coordinate Slack connection readiness, channel discovery, read-preview policy, and optional notification proposal scope for Deal Pipeline setup.</t>
        </is>
      </c>
      <c r="F78" s="16">
        <f>HYPERLINK('Link Config'!$B$2&amp;"plugins/vc/agents/vc-integration-operator.md","Integration Operator")</f>
        <v/>
      </c>
      <c r="G78" s="16">
        <f>HYPERLINK('Link Config'!$B$2&amp;"plugins/vc/skills/vc-slack-sync-read/SKILL.md","VC Slack Sync Read")</f>
        <v/>
      </c>
      <c r="H78" s="15" t="inlineStr"/>
      <c r="I78" s="15" t="inlineStr">
        <is>
          <t>slack_v2</t>
        </is>
      </c>
      <c r="J78" s="15" t="inlineStr">
        <is>
          <t>slack-setup</t>
        </is>
      </c>
      <c r="K78" s="15" t="inlineStr">
        <is>
          <t>project_management</t>
        </is>
      </c>
    </row>
    <row r="79" ht="18" customHeight="1" s="12">
      <c r="A79" s="15" t="inlineStr"/>
      <c r="B79" s="15" t="inlineStr">
        <is>
          <t>Deal Pipeline</t>
        </is>
      </c>
      <c r="C79" s="15" t="inlineStr">
        <is>
          <t>Integration Support</t>
        </is>
      </c>
      <c r="D79" s="16">
        <f>HYPERLINK('Link Config'!$B$2&amp;"plugins/vc/tasks/slack-setup.md","Set Up Slack for Deal Pipelines")</f>
        <v/>
      </c>
      <c r="E79" s="15" t="inlineStr">
        <is>
          <t>Coordinate Slack connection readiness, channel discovery, read-preview policy, and optional notification proposal scope for Deal Pipeline setup.</t>
        </is>
      </c>
      <c r="F79" s="16">
        <f>HYPERLINK('Link Config'!$B$2&amp;"plugins/vc/agents/vc-integration-operator.md","Integration Operator")</f>
        <v/>
      </c>
      <c r="G79" s="16">
        <f>HYPERLINK('Link Config'!$B$2&amp;"plugins/vc/skills/vc-slack-sync-write/SKILL.md","VC Slack Sync Write")</f>
        <v/>
      </c>
      <c r="H79" s="15" t="inlineStr"/>
      <c r="I79" s="15" t="inlineStr">
        <is>
          <t>slack_v2</t>
        </is>
      </c>
      <c r="J79" s="15" t="inlineStr">
        <is>
          <t>slack-setup</t>
        </is>
      </c>
      <c r="K79" s="15" t="inlineStr">
        <is>
          <t>project_management</t>
        </is>
      </c>
    </row>
    <row r="80" ht="18" customHeight="1" s="12">
      <c r="A80" s="15" t="inlineStr"/>
      <c r="B80" s="15" t="inlineStr">
        <is>
          <t>Deal Pipeline</t>
        </is>
      </c>
      <c r="C80" s="15" t="inlineStr">
        <is>
          <t>Integration Support</t>
        </is>
      </c>
      <c r="D80" s="16">
        <f>HYPERLINK('Link Config'!$B$2&amp;"plugins/vc/tasks/slack-setup.md","Set Up Slack for Deal Pipelines")</f>
        <v/>
      </c>
      <c r="E80" s="15" t="inlineStr">
        <is>
          <t>Coordinate Slack connection readiness, channel discovery, read-preview policy, and optional notification proposal scope for Deal Pipeline setup.</t>
        </is>
      </c>
      <c r="F80" s="16">
        <f>HYPERLINK('Link Config'!$B$2&amp;"plugins/vc/agents/vc-integration-operator.md","Integration Operator")</f>
        <v/>
      </c>
      <c r="G80" s="16">
        <f>HYPERLINK('Link Config'!$B$2&amp;"plugins/vc/skills/citation-enforcement/SKILL.md","Citation Enforcement")</f>
        <v/>
      </c>
      <c r="H80" s="15" t="inlineStr"/>
      <c r="I80" s="15" t="inlineStr">
        <is>
          <t>slack_v2</t>
        </is>
      </c>
      <c r="J80" s="15" t="inlineStr">
        <is>
          <t>slack-setup</t>
        </is>
      </c>
      <c r="K80" s="15" t="inlineStr">
        <is>
          <t>project_management</t>
        </is>
      </c>
    </row>
    <row r="81" ht="120" customHeight="1" s="12">
      <c r="A81" s="15" t="inlineStr">
        <is>
          <t>Barry</t>
        </is>
      </c>
      <c r="B81" s="15" t="inlineStr">
        <is>
          <t>Deal Pipeline</t>
        </is>
      </c>
      <c r="C81" s="15" t="inlineStr">
        <is>
          <t>Screening</t>
        </is>
      </c>
      <c r="D81" s="16">
        <f>HYPERLINK('Link Config'!$B$2&amp;"plugins/vc/tasks/run-investment-screen.md","Run Investment Fit Screen")</f>
        <v/>
      </c>
      <c r="E81" s="15" t="inlineStr">
        <is>
          <t>Run a fast investment fit screen for one venture-capital opportunity using configured criteria, available evidence, human review gates, and next-action recommendations.</t>
        </is>
      </c>
      <c r="F81" s="16">
        <f>HYPERLINK('Link Config'!$B$2&amp;"plugins/vc/agents/vc-first-look-analyst.md","First Look Analyst")</f>
        <v/>
      </c>
      <c r="G81" s="16">
        <f>HYPERLINK('Link Config'!$B$2&amp;"plugins/vc/skills/investment-screening-framework/SKILL.md","Investment Screening Framework")</f>
        <v/>
      </c>
      <c r="H81" s="16">
        <f>HYPERLINK('Link Config'!$B$2&amp;"plugins/vc/alludium/documents/shared/investment-screening-framework.md","Investment Screening Framework (methodology, to investment_screen_scorecard_artifact_id)")</f>
        <v/>
      </c>
      <c r="I81" s="15" t="inlineStr">
        <is>
          <t>alludium-platform
harmonic-mcp-oauth
affinity-mcp-server
exa-mcp-hosted
brave-search-mcp
serpapi-mcp
firecrawl-mcp-hosted
dealroom-mcp</t>
        </is>
      </c>
      <c r="J81" s="15" t="inlineStr">
        <is>
          <t>run-investment-screen</t>
        </is>
      </c>
      <c r="K81" s="15" t="inlineStr">
        <is>
          <t>project_instance</t>
        </is>
      </c>
    </row>
    <row r="82" ht="120" customHeight="1" s="12">
      <c r="A82" s="15" t="inlineStr">
        <is>
          <t>Barry</t>
        </is>
      </c>
      <c r="B82" s="15" t="inlineStr">
        <is>
          <t>Deal Pipeline</t>
        </is>
      </c>
      <c r="C82" s="15" t="inlineStr">
        <is>
          <t>Screening</t>
        </is>
      </c>
      <c r="D82" s="16">
        <f>HYPERLINK('Link Config'!$B$2&amp;"plugins/vc/tasks/run-investment-screen.md","Run Investment Fit Screen")</f>
        <v/>
      </c>
      <c r="E82" s="15" t="inlineStr">
        <is>
          <t>Run a fast investment fit screen for one venture-capital opportunity using configured criteria, available evidence, human review gates, and next-action recommendations.</t>
        </is>
      </c>
      <c r="F82" s="16">
        <f>HYPERLINK('Link Config'!$B$2&amp;"plugins/vc/agents/vc-first-look-analyst.md","First Look Analyst")</f>
        <v/>
      </c>
      <c r="G82" s="16">
        <f>HYPERLINK('Link Config'!$B$2&amp;"plugins/vc/skills/red-flags-scanner/SKILL.md","Red Flags Scanner")</f>
        <v/>
      </c>
      <c r="H82" s="16">
        <f>HYPERLINK('Link Config'!$B$2&amp;"plugins/vc/alludium/documents/shared/evidence-citation-style-guide.md","Evidence And Citation Style Guide (style_guide)")</f>
        <v/>
      </c>
      <c r="I82" s="15" t="inlineStr">
        <is>
          <t>alludium-platform
harmonic-mcp-oauth
affinity-mcp-server
exa-mcp-hosted
brave-search-mcp
serpapi-mcp
firecrawl-mcp-hosted
dealroom-mcp</t>
        </is>
      </c>
      <c r="J82" s="15" t="inlineStr">
        <is>
          <t>run-investment-screen</t>
        </is>
      </c>
      <c r="K82" s="15" t="inlineStr">
        <is>
          <t>project_instance</t>
        </is>
      </c>
    </row>
    <row r="83" ht="120" customHeight="1" s="12">
      <c r="A83" s="15" t="inlineStr">
        <is>
          <t>Barry</t>
        </is>
      </c>
      <c r="B83" s="15" t="inlineStr">
        <is>
          <t>Deal Pipeline</t>
        </is>
      </c>
      <c r="C83" s="15" t="inlineStr">
        <is>
          <t>Screening</t>
        </is>
      </c>
      <c r="D83" s="16">
        <f>HYPERLINK('Link Config'!$B$2&amp;"plugins/vc/tasks/run-investment-screen.md","Run Investment Fit Screen")</f>
        <v/>
      </c>
      <c r="E83" s="15" t="inlineStr">
        <is>
          <t>Run a fast investment fit screen for one venture-capital opportunity using configured criteria, available evidence, human review gates, and next-action recommendations.</t>
        </is>
      </c>
      <c r="F83" s="16">
        <f>HYPERLINK('Link Config'!$B$2&amp;"plugins/vc/agents/vc-first-look-analyst.md","First Look Analyst")</f>
        <v/>
      </c>
      <c r="G83" s="16">
        <f>HYPERLINK('Link Config'!$B$2&amp;"plugins/vc/skills/citation-enforcement/SKILL.md","Citation Enforcement")</f>
        <v/>
      </c>
      <c r="H83" s="16">
        <f>HYPERLINK('Link Config'!$B$2&amp;"plugins/vc/alludium/documents/shared/template-use-guidance.md","Template Use Guidance (operating_guidance)")</f>
        <v/>
      </c>
      <c r="I83" s="15" t="inlineStr">
        <is>
          <t>alludium-platform
harmonic-mcp-oauth
affinity-mcp-server
exa-mcp-hosted
brave-search-mcp
serpapi-mcp
firecrawl-mcp-hosted
dealroom-mcp</t>
        </is>
      </c>
      <c r="J83" s="15" t="inlineStr">
        <is>
          <t>run-investment-screen</t>
        </is>
      </c>
      <c r="K83" s="15" t="inlineStr">
        <is>
          <t>project_instance</t>
        </is>
      </c>
    </row>
    <row r="84" ht="120" customHeight="1" s="12">
      <c r="A84" s="15" t="inlineStr"/>
      <c r="B84" s="15" t="inlineStr">
        <is>
          <t>Deal Pipeline</t>
        </is>
      </c>
      <c r="C84" s="15" t="inlineStr">
        <is>
          <t>Evaluation</t>
        </is>
      </c>
      <c r="D84" s="16">
        <f>HYPERLINK('Link Config'!$B$2&amp;"plugins/vc/tasks/run-follow-up-evaluation.md","Run Opportunity Evaluation")</f>
        <v/>
      </c>
      <c r="E84" s="15" t="inlineStr">
        <is>
          <t>Run a deeper opportunity evaluation after screening for one venture-capital opportunity with evidence capture, human review gates, and next-action recommendations.</t>
        </is>
      </c>
      <c r="F84" s="16">
        <f>HYPERLINK('Link Config'!$B$2&amp;"plugins/vc/agents/vc-evaluation-analyst.md","Evaluation Analyst")</f>
        <v/>
      </c>
      <c r="G84" s="16">
        <f>HYPERLINK('Link Config'!$B$2&amp;"plugins/vc/skills/investment-diligence-question-framework/SKILL.md","Investment Diligence Question Framework")</f>
        <v/>
      </c>
      <c r="H84" s="16">
        <f>HYPERLINK('Link Config'!$B$2&amp;"plugins/vc/alludium/documents/deal-room/follow-up-evaluation-template.md","Opportunity Evaluation Template (output_template, to follow_up_evaluation_artifact_id)")</f>
        <v/>
      </c>
      <c r="I84" s="15" t="inlineStr">
        <is>
          <t>alludium-platform
harmonic-mcp-oauth
affinity-mcp-server
exa-mcp-hosted
brave-search-mcp
serpapi-mcp
firecrawl-mcp-hosted
dealroom-mcp</t>
        </is>
      </c>
      <c r="J84" s="15" t="inlineStr">
        <is>
          <t>run-follow-up-evaluation</t>
        </is>
      </c>
      <c r="K84" s="15" t="inlineStr">
        <is>
          <t>project_instance</t>
        </is>
      </c>
    </row>
    <row r="85" ht="120" customHeight="1" s="12">
      <c r="A85" s="15" t="inlineStr"/>
      <c r="B85" s="15" t="inlineStr">
        <is>
          <t>Deal Pipeline</t>
        </is>
      </c>
      <c r="C85" s="15" t="inlineStr">
        <is>
          <t>Evaluation</t>
        </is>
      </c>
      <c r="D85" s="16">
        <f>HYPERLINK('Link Config'!$B$2&amp;"plugins/vc/tasks/run-follow-up-evaluation.md","Run Opportunity Evaluation")</f>
        <v/>
      </c>
      <c r="E85" s="15" t="inlineStr">
        <is>
          <t>Run a deeper opportunity evaluation after screening for one venture-capital opportunity with evidence capture, human review gates, and next-action recommendations.</t>
        </is>
      </c>
      <c r="F85" s="16">
        <f>HYPERLINK('Link Config'!$B$2&amp;"plugins/vc/agents/vc-evaluation-analyst.md","Evaluation Analyst")</f>
        <v/>
      </c>
      <c r="G85" s="16">
        <f>HYPERLINK('Link Config'!$B$2&amp;"plugins/vc/skills/red-flags-scanner/SKILL.md","Red Flags Scanner")</f>
        <v/>
      </c>
      <c r="H85" s="16">
        <f>HYPERLINK('Link Config'!$B$2&amp;"plugins/vc/alludium/documents/shared/opportunity-evaluation-framework.md","Opportunity Evaluation Framework (methodology)")</f>
        <v/>
      </c>
      <c r="I85" s="15" t="inlineStr">
        <is>
          <t>alludium-platform
harmonic-mcp-oauth
affinity-mcp-server
exa-mcp-hosted
brave-search-mcp
serpapi-mcp
firecrawl-mcp-hosted
dealroom-mcp</t>
        </is>
      </c>
      <c r="J85" s="15" t="inlineStr">
        <is>
          <t>run-follow-up-evaluation</t>
        </is>
      </c>
      <c r="K85" s="15" t="inlineStr">
        <is>
          <t>project_instance</t>
        </is>
      </c>
    </row>
    <row r="86" ht="120" customHeight="1" s="12">
      <c r="A86" s="15" t="inlineStr"/>
      <c r="B86" s="15" t="inlineStr">
        <is>
          <t>Deal Pipeline</t>
        </is>
      </c>
      <c r="C86" s="15" t="inlineStr">
        <is>
          <t>Evaluation</t>
        </is>
      </c>
      <c r="D86" s="16">
        <f>HYPERLINK('Link Config'!$B$2&amp;"plugins/vc/tasks/run-follow-up-evaluation.md","Run Opportunity Evaluation")</f>
        <v/>
      </c>
      <c r="E86" s="15" t="inlineStr">
        <is>
          <t>Run a deeper opportunity evaluation after screening for one venture-capital opportunity with evidence capture, human review gates, and next-action recommendations.</t>
        </is>
      </c>
      <c r="F86" s="16">
        <f>HYPERLINK('Link Config'!$B$2&amp;"plugins/vc/agents/vc-evaluation-analyst.md","Evaluation Analyst")</f>
        <v/>
      </c>
      <c r="G86" s="16">
        <f>HYPERLINK('Link Config'!$B$2&amp;"plugins/vc/skills/citation-enforcement/SKILL.md","Citation Enforcement")</f>
        <v/>
      </c>
      <c r="H86" s="16">
        <f>HYPERLINK('Link Config'!$B$2&amp;"plugins/vc/alludium/documents/shared/evaluation-workstream-guide.md","Evaluation Workstream Guide (methodology)")</f>
        <v/>
      </c>
      <c r="I86" s="15" t="inlineStr">
        <is>
          <t>alludium-platform
harmonic-mcp-oauth
affinity-mcp-server
exa-mcp-hosted
brave-search-mcp
serpapi-mcp
firecrawl-mcp-hosted
dealroom-mcp</t>
        </is>
      </c>
      <c r="J86" s="15" t="inlineStr">
        <is>
          <t>run-follow-up-evaluation</t>
        </is>
      </c>
      <c r="K86" s="15" t="inlineStr">
        <is>
          <t>project_instance</t>
        </is>
      </c>
    </row>
    <row r="87" ht="120" customHeight="1" s="12">
      <c r="A87" s="15" t="inlineStr"/>
      <c r="B87" s="15" t="inlineStr">
        <is>
          <t>Deal Pipeline</t>
        </is>
      </c>
      <c r="C87" s="15" t="inlineStr">
        <is>
          <t>Evaluation</t>
        </is>
      </c>
      <c r="D87" s="16">
        <f>HYPERLINK('Link Config'!$B$2&amp;"plugins/vc/tasks/run-follow-up-evaluation.md","Run Opportunity Evaluation")</f>
        <v/>
      </c>
      <c r="E87" s="15" t="inlineStr">
        <is>
          <t>Run a deeper opportunity evaluation after screening for one venture-capital opportunity with evidence capture, human review gates, and next-action recommendations.</t>
        </is>
      </c>
      <c r="F87" s="16">
        <f>HYPERLINK('Link Config'!$B$2&amp;"plugins/vc/agents/vc-evaluation-analyst.md","Evaluation Analyst")</f>
        <v/>
      </c>
      <c r="G87" s="15" t="inlineStr"/>
      <c r="H87" s="16">
        <f>HYPERLINK('Link Config'!$B$2&amp;"plugins/vc/alludium/documents/deal-room/commercial-evaluation-guide.md","Commercial Evaluation Guide (methodology)")</f>
        <v/>
      </c>
      <c r="I87" s="15" t="inlineStr">
        <is>
          <t>alludium-platform
harmonic-mcp-oauth
affinity-mcp-server
exa-mcp-hosted
brave-search-mcp
serpapi-mcp
firecrawl-mcp-hosted
dealroom-mcp</t>
        </is>
      </c>
      <c r="J87" s="15" t="inlineStr">
        <is>
          <t>run-follow-up-evaluation</t>
        </is>
      </c>
      <c r="K87" s="15" t="inlineStr">
        <is>
          <t>project_instance</t>
        </is>
      </c>
    </row>
    <row r="88" ht="120" customHeight="1" s="12">
      <c r="A88" s="15" t="inlineStr"/>
      <c r="B88" s="15" t="inlineStr">
        <is>
          <t>Deal Pipeline</t>
        </is>
      </c>
      <c r="C88" s="15" t="inlineStr">
        <is>
          <t>Evaluation</t>
        </is>
      </c>
      <c r="D88" s="16">
        <f>HYPERLINK('Link Config'!$B$2&amp;"plugins/vc/tasks/run-follow-up-evaluation.md","Run Opportunity Evaluation")</f>
        <v/>
      </c>
      <c r="E88" s="15" t="inlineStr">
        <is>
          <t>Run a deeper opportunity evaluation after screening for one venture-capital opportunity with evidence capture, human review gates, and next-action recommendations.</t>
        </is>
      </c>
      <c r="F88" s="16">
        <f>HYPERLINK('Link Config'!$B$2&amp;"plugins/vc/agents/vc-evaluation-analyst.md","Evaluation Analyst")</f>
        <v/>
      </c>
      <c r="G88" s="15" t="inlineStr"/>
      <c r="H88" s="16">
        <f>HYPERLINK('Link Config'!$B$2&amp;"plugins/vc/alludium/documents/deal-room/technical-evaluation-guide.md","Technical Evaluation Guide (methodology)")</f>
        <v/>
      </c>
      <c r="I88" s="15" t="inlineStr">
        <is>
          <t>alludium-platform
harmonic-mcp-oauth
affinity-mcp-server
exa-mcp-hosted
brave-search-mcp
serpapi-mcp
firecrawl-mcp-hosted
dealroom-mcp</t>
        </is>
      </c>
      <c r="J88" s="15" t="inlineStr">
        <is>
          <t>run-follow-up-evaluation</t>
        </is>
      </c>
      <c r="K88" s="15" t="inlineStr">
        <is>
          <t>project_instance</t>
        </is>
      </c>
    </row>
    <row r="89" ht="120" customHeight="1" s="12">
      <c r="A89" s="15" t="inlineStr"/>
      <c r="B89" s="15" t="inlineStr">
        <is>
          <t>Deal Pipeline</t>
        </is>
      </c>
      <c r="C89" s="15" t="inlineStr">
        <is>
          <t>Evaluation</t>
        </is>
      </c>
      <c r="D89" s="16">
        <f>HYPERLINK('Link Config'!$B$2&amp;"plugins/vc/tasks/run-follow-up-evaluation.md","Run Opportunity Evaluation")</f>
        <v/>
      </c>
      <c r="E89" s="15" t="inlineStr">
        <is>
          <t>Run a deeper opportunity evaluation after screening for one venture-capital opportunity with evidence capture, human review gates, and next-action recommendations.</t>
        </is>
      </c>
      <c r="F89" s="16">
        <f>HYPERLINK('Link Config'!$B$2&amp;"plugins/vc/agents/vc-evaluation-analyst.md","Evaluation Analyst")</f>
        <v/>
      </c>
      <c r="G89" s="15" t="inlineStr"/>
      <c r="H89" s="16">
        <f>HYPERLINK('Link Config'!$B$2&amp;"plugins/vc/alludium/documents/deal-room/financial-evaluation-guide.md","Financial Evaluation Guide (methodology)")</f>
        <v/>
      </c>
      <c r="I89" s="15" t="inlineStr">
        <is>
          <t>alludium-platform
harmonic-mcp-oauth
affinity-mcp-server
exa-mcp-hosted
brave-search-mcp
serpapi-mcp
firecrawl-mcp-hosted
dealroom-mcp</t>
        </is>
      </c>
      <c r="J89" s="15" t="inlineStr">
        <is>
          <t>run-follow-up-evaluation</t>
        </is>
      </c>
      <c r="K89" s="15" t="inlineStr">
        <is>
          <t>project_instance</t>
        </is>
      </c>
    </row>
    <row r="90" ht="120" customHeight="1" s="12">
      <c r="A90" s="15" t="inlineStr"/>
      <c r="B90" s="15" t="inlineStr">
        <is>
          <t>Deal Pipeline</t>
        </is>
      </c>
      <c r="C90" s="15" t="inlineStr">
        <is>
          <t>Evaluation</t>
        </is>
      </c>
      <c r="D90" s="16">
        <f>HYPERLINK('Link Config'!$B$2&amp;"plugins/vc/tasks/run-follow-up-evaluation.md","Run Opportunity Evaluation")</f>
        <v/>
      </c>
      <c r="E90" s="15" t="inlineStr">
        <is>
          <t>Run a deeper opportunity evaluation after screening for one venture-capital opportunity with evidence capture, human review gates, and next-action recommendations.</t>
        </is>
      </c>
      <c r="F90" s="16">
        <f>HYPERLINK('Link Config'!$B$2&amp;"plugins/vc/agents/vc-evaluation-analyst.md","Evaluation Analyst")</f>
        <v/>
      </c>
      <c r="G90" s="15" t="inlineStr"/>
      <c r="H90" s="16">
        <f>HYPERLINK('Link Config'!$B$2&amp;"plugins/vc/alludium/documents/shared/evidence-citation-style-guide.md","Evidence And Citation Style Guide (style_guide)")</f>
        <v/>
      </c>
      <c r="I90" s="15" t="inlineStr">
        <is>
          <t>alludium-platform
harmonic-mcp-oauth
affinity-mcp-server
exa-mcp-hosted
brave-search-mcp
serpapi-mcp
firecrawl-mcp-hosted
dealroom-mcp</t>
        </is>
      </c>
      <c r="J90" s="15" t="inlineStr">
        <is>
          <t>run-follow-up-evaluation</t>
        </is>
      </c>
      <c r="K90" s="15" t="inlineStr">
        <is>
          <t>project_instance</t>
        </is>
      </c>
    </row>
    <row r="91" ht="120" customHeight="1" s="12">
      <c r="A91" s="15" t="inlineStr"/>
      <c r="B91" s="15" t="inlineStr">
        <is>
          <t>Deal Pipeline</t>
        </is>
      </c>
      <c r="C91" s="15" t="inlineStr">
        <is>
          <t>Evaluation</t>
        </is>
      </c>
      <c r="D91" s="16">
        <f>HYPERLINK('Link Config'!$B$2&amp;"plugins/vc/tasks/run-follow-up-evaluation.md","Run Opportunity Evaluation")</f>
        <v/>
      </c>
      <c r="E91" s="15" t="inlineStr">
        <is>
          <t>Run a deeper opportunity evaluation after screening for one venture-capital opportunity with evidence capture, human review gates, and next-action recommendations.</t>
        </is>
      </c>
      <c r="F91" s="16">
        <f>HYPERLINK('Link Config'!$B$2&amp;"plugins/vc/agents/vc-evaluation-analyst.md","Evaluation Analyst")</f>
        <v/>
      </c>
      <c r="G91" s="15" t="inlineStr"/>
      <c r="H91" s="16">
        <f>HYPERLINK('Link Config'!$B$2&amp;"plugins/vc/alludium/documents/shared/template-use-guidance.md","Template Use Guidance (operating_guidance)")</f>
        <v/>
      </c>
      <c r="I91" s="15" t="inlineStr">
        <is>
          <t>alludium-platform
harmonic-mcp-oauth
affinity-mcp-server
exa-mcp-hosted
brave-search-mcp
serpapi-mcp
firecrawl-mcp-hosted
dealroom-mcp</t>
        </is>
      </c>
      <c r="J91" s="15" t="inlineStr">
        <is>
          <t>run-follow-up-evaluation</t>
        </is>
      </c>
      <c r="K91" s="15" t="inlineStr">
        <is>
          <t>project_instance</t>
        </is>
      </c>
    </row>
    <row r="92" ht="120" customHeight="1" s="12">
      <c r="A92" s="15" t="inlineStr"/>
      <c r="B92" s="15" t="inlineStr">
        <is>
          <t>Deal Pipeline</t>
        </is>
      </c>
      <c r="C92" s="15" t="inlineStr">
        <is>
          <t>Evaluation</t>
        </is>
      </c>
      <c r="D92" s="16">
        <f>HYPERLINK('Link Config'!$B$2&amp;"plugins/vc/tasks/run-commercial-evaluation.md","Run Commercial Evaluation")</f>
        <v/>
      </c>
      <c r="E92" s="15" t="inlineStr">
        <is>
          <t>Run an evaluation-stage commercial workstream for one venture-capital opportunity, identifying market/customer evidence, GTM risk, and next proof needed before formal diligence.</t>
        </is>
      </c>
      <c r="F92" s="16">
        <f>HYPERLINK('Link Config'!$B$2&amp;"plugins/vc/agents/vc-evaluation-analyst.md","Evaluation Analyst")</f>
        <v/>
      </c>
      <c r="G92" s="16">
        <f>HYPERLINK('Link Config'!$B$2&amp;"plugins/vc/skills/commercial-evaluation-and-market-risk/SKILL.md","Commercial Evaluation &amp; Market Risk")</f>
        <v/>
      </c>
      <c r="H92" s="16">
        <f>HYPERLINK('Link Config'!$B$2&amp;"plugins/vc/alludium/documents/deal-room/commercial-evaluation-template.md","Commercial Evaluation Template (output_template, to commercial_evaluation_artifact_id)")</f>
        <v/>
      </c>
      <c r="I92" s="15" t="inlineStr">
        <is>
          <t>alludium-platform
harmonic-mcp-oauth
affinity-mcp-server
exa-mcp-hosted
brave-search-mcp
serpapi-mcp
firecrawl-mcp-hosted
dealroom-mcp</t>
        </is>
      </c>
      <c r="J92" s="15" t="inlineStr">
        <is>
          <t>run-commercial-evaluation</t>
        </is>
      </c>
      <c r="K92" s="15" t="inlineStr">
        <is>
          <t>project_instance</t>
        </is>
      </c>
    </row>
    <row r="93" ht="120" customHeight="1" s="12">
      <c r="A93" s="15" t="inlineStr"/>
      <c r="B93" s="15" t="inlineStr">
        <is>
          <t>Deal Pipeline</t>
        </is>
      </c>
      <c r="C93" s="15" t="inlineStr">
        <is>
          <t>Evaluation</t>
        </is>
      </c>
      <c r="D93" s="16">
        <f>HYPERLINK('Link Config'!$B$2&amp;"plugins/vc/tasks/run-commercial-evaluation.md","Run Commercial Evaluation")</f>
        <v/>
      </c>
      <c r="E93" s="15" t="inlineStr">
        <is>
          <t>Run an evaluation-stage commercial workstream for one venture-capital opportunity, identifying market/customer evidence, GTM risk, and next proof needed before formal diligence.</t>
        </is>
      </c>
      <c r="F93" s="16">
        <f>HYPERLINK('Link Config'!$B$2&amp;"plugins/vc/agents/vc-evaluation-analyst.md","Evaluation Analyst")</f>
        <v/>
      </c>
      <c r="G93" s="16">
        <f>HYPERLINK('Link Config'!$B$2&amp;"plugins/vc/skills/citation-enforcement/SKILL.md","Citation Enforcement")</f>
        <v/>
      </c>
      <c r="H93" s="16">
        <f>HYPERLINK('Link Config'!$B$2&amp;"plugins/vc/alludium/documents/shared/evaluation-workstream-guide.md","Evaluation Workstream Guide (methodology)")</f>
        <v/>
      </c>
      <c r="I93" s="15" t="inlineStr">
        <is>
          <t>alludium-platform
harmonic-mcp-oauth
affinity-mcp-server
exa-mcp-hosted
brave-search-mcp
serpapi-mcp
firecrawl-mcp-hosted
dealroom-mcp</t>
        </is>
      </c>
      <c r="J93" s="15" t="inlineStr">
        <is>
          <t>run-commercial-evaluation</t>
        </is>
      </c>
      <c r="K93" s="15" t="inlineStr">
        <is>
          <t>project_instance</t>
        </is>
      </c>
    </row>
    <row r="94" ht="120" customHeight="1" s="12">
      <c r="A94" s="15" t="inlineStr"/>
      <c r="B94" s="15" t="inlineStr">
        <is>
          <t>Deal Pipeline</t>
        </is>
      </c>
      <c r="C94" s="15" t="inlineStr">
        <is>
          <t>Evaluation</t>
        </is>
      </c>
      <c r="D94" s="16">
        <f>HYPERLINK('Link Config'!$B$2&amp;"plugins/vc/tasks/run-commercial-evaluation.md","Run Commercial Evaluation")</f>
        <v/>
      </c>
      <c r="E94" s="15" t="inlineStr">
        <is>
          <t>Run an evaluation-stage commercial workstream for one venture-capital opportunity, identifying market/customer evidence, GTM risk, and next proof needed before formal diligence.</t>
        </is>
      </c>
      <c r="F94" s="16">
        <f>HYPERLINK('Link Config'!$B$2&amp;"plugins/vc/agents/vc-evaluation-analyst.md","Evaluation Analyst")</f>
        <v/>
      </c>
      <c r="G94" s="15" t="inlineStr"/>
      <c r="H94" s="16">
        <f>HYPERLINK('Link Config'!$B$2&amp;"plugins/vc/alludium/documents/deal-room/commercial-evaluation-guide.md","Commercial Evaluation Guide (methodology)")</f>
        <v/>
      </c>
      <c r="I94" s="15" t="inlineStr">
        <is>
          <t>alludium-platform
harmonic-mcp-oauth
affinity-mcp-server
exa-mcp-hosted
brave-search-mcp
serpapi-mcp
firecrawl-mcp-hosted
dealroom-mcp</t>
        </is>
      </c>
      <c r="J94" s="15" t="inlineStr">
        <is>
          <t>run-commercial-evaluation</t>
        </is>
      </c>
      <c r="K94" s="15" t="inlineStr">
        <is>
          <t>project_instance</t>
        </is>
      </c>
    </row>
    <row r="95" ht="120" customHeight="1" s="12">
      <c r="A95" s="15" t="inlineStr"/>
      <c r="B95" s="15" t="inlineStr">
        <is>
          <t>Deal Pipeline</t>
        </is>
      </c>
      <c r="C95" s="15" t="inlineStr">
        <is>
          <t>Evaluation</t>
        </is>
      </c>
      <c r="D95" s="16">
        <f>HYPERLINK('Link Config'!$B$2&amp;"plugins/vc/tasks/run-commercial-evaluation.md","Run Commercial Evaluation")</f>
        <v/>
      </c>
      <c r="E95" s="15" t="inlineStr">
        <is>
          <t>Run an evaluation-stage commercial workstream for one venture-capital opportunity, identifying market/customer evidence, GTM risk, and next proof needed before formal diligence.</t>
        </is>
      </c>
      <c r="F95" s="16">
        <f>HYPERLINK('Link Config'!$B$2&amp;"plugins/vc/agents/vc-evaluation-analyst.md","Evaluation Analyst")</f>
        <v/>
      </c>
      <c r="G95" s="15" t="inlineStr"/>
      <c r="H95" s="16">
        <f>HYPERLINK('Link Config'!$B$2&amp;"plugins/vc/alludium/documents/shared/opportunity-evaluation-framework.md","Opportunity Evaluation Framework (methodology)")</f>
        <v/>
      </c>
      <c r="I95" s="15" t="inlineStr">
        <is>
          <t>alludium-platform
harmonic-mcp-oauth
affinity-mcp-server
exa-mcp-hosted
brave-search-mcp
serpapi-mcp
firecrawl-mcp-hosted
dealroom-mcp</t>
        </is>
      </c>
      <c r="J95" s="15" t="inlineStr">
        <is>
          <t>run-commercial-evaluation</t>
        </is>
      </c>
      <c r="K95" s="15" t="inlineStr">
        <is>
          <t>project_instance</t>
        </is>
      </c>
    </row>
    <row r="96" ht="120" customHeight="1" s="12">
      <c r="A96" s="15" t="inlineStr"/>
      <c r="B96" s="15" t="inlineStr">
        <is>
          <t>Deal Pipeline</t>
        </is>
      </c>
      <c r="C96" s="15" t="inlineStr">
        <is>
          <t>Evaluation</t>
        </is>
      </c>
      <c r="D96" s="16">
        <f>HYPERLINK('Link Config'!$B$2&amp;"plugins/vc/tasks/run-commercial-evaluation.md","Run Commercial Evaluation")</f>
        <v/>
      </c>
      <c r="E96" s="15" t="inlineStr">
        <is>
          <t>Run an evaluation-stage commercial workstream for one venture-capital opportunity, identifying market/customer evidence, GTM risk, and next proof needed before formal diligence.</t>
        </is>
      </c>
      <c r="F96" s="16">
        <f>HYPERLINK('Link Config'!$B$2&amp;"plugins/vc/agents/vc-evaluation-analyst.md","Evaluation Analyst")</f>
        <v/>
      </c>
      <c r="G96" s="15" t="inlineStr"/>
      <c r="H96" s="16">
        <f>HYPERLINK('Link Config'!$B$2&amp;"plugins/vc/alludium/documents/shared/evidence-citation-style-guide.md","Evidence And Citation Style Guide (style_guide)")</f>
        <v/>
      </c>
      <c r="I96" s="15" t="inlineStr">
        <is>
          <t>alludium-platform
harmonic-mcp-oauth
affinity-mcp-server
exa-mcp-hosted
brave-search-mcp
serpapi-mcp
firecrawl-mcp-hosted
dealroom-mcp</t>
        </is>
      </c>
      <c r="J96" s="15" t="inlineStr">
        <is>
          <t>run-commercial-evaluation</t>
        </is>
      </c>
      <c r="K96" s="15" t="inlineStr">
        <is>
          <t>project_instance</t>
        </is>
      </c>
    </row>
    <row r="97" ht="120" customHeight="1" s="12">
      <c r="A97" s="15" t="inlineStr"/>
      <c r="B97" s="15" t="inlineStr">
        <is>
          <t>Deal Pipeline</t>
        </is>
      </c>
      <c r="C97" s="15" t="inlineStr">
        <is>
          <t>Evaluation</t>
        </is>
      </c>
      <c r="D97" s="16">
        <f>HYPERLINK('Link Config'!$B$2&amp;"plugins/vc/tasks/run-commercial-evaluation.md","Run Commercial Evaluation")</f>
        <v/>
      </c>
      <c r="E97" s="15" t="inlineStr">
        <is>
          <t>Run an evaluation-stage commercial workstream for one venture-capital opportunity, identifying market/customer evidence, GTM risk, and next proof needed before formal diligence.</t>
        </is>
      </c>
      <c r="F97" s="16">
        <f>HYPERLINK('Link Config'!$B$2&amp;"plugins/vc/agents/vc-evaluation-analyst.md","Evaluation Analyst")</f>
        <v/>
      </c>
      <c r="G97" s="15" t="inlineStr"/>
      <c r="H97" s="16">
        <f>HYPERLINK('Link Config'!$B$2&amp;"plugins/vc/alludium/documents/shared/template-use-guidance.md","Template Use Guidance (operating_guidance)")</f>
        <v/>
      </c>
      <c r="I97" s="15" t="inlineStr">
        <is>
          <t>alludium-platform
harmonic-mcp-oauth
affinity-mcp-server
exa-mcp-hosted
brave-search-mcp
serpapi-mcp
firecrawl-mcp-hosted
dealroom-mcp</t>
        </is>
      </c>
      <c r="J97" s="15" t="inlineStr">
        <is>
          <t>run-commercial-evaluation</t>
        </is>
      </c>
      <c r="K97" s="15" t="inlineStr">
        <is>
          <t>project_instance</t>
        </is>
      </c>
    </row>
    <row r="98" ht="120" customHeight="1" s="12">
      <c r="A98" s="15" t="inlineStr"/>
      <c r="B98" s="15" t="inlineStr">
        <is>
          <t>Deal Pipeline</t>
        </is>
      </c>
      <c r="C98" s="15" t="inlineStr">
        <is>
          <t>Evaluation</t>
        </is>
      </c>
      <c r="D98" s="16">
        <f>HYPERLINK('Link Config'!$B$2&amp;"plugins/vc/tasks/run-technical-evaluation.md","Run Technical Evaluation")</f>
        <v/>
      </c>
      <c r="E98" s="15" t="inlineStr">
        <is>
          <t>Run an evaluation-stage technical and product workstream for one venture-capital opportunity, identifying product evidence, technical risk, and next proof needed before formal diligence.</t>
        </is>
      </c>
      <c r="F98" s="16">
        <f>HYPERLINK('Link Config'!$B$2&amp;"plugins/vc/agents/vc-evaluation-analyst.md","Evaluation Analyst")</f>
        <v/>
      </c>
      <c r="G98" s="16">
        <f>HYPERLINK('Link Config'!$B$2&amp;"plugins/vc/skills/technical-evaluation-and-product-risk/SKILL.md","Technical Evaluation &amp; Product Risk")</f>
        <v/>
      </c>
      <c r="H98" s="16">
        <f>HYPERLINK('Link Config'!$B$2&amp;"plugins/vc/alludium/documents/deal-room/technical-evaluation-template.md","Technical Evaluation Template (output_template, to technical_evaluation_artifact_id)")</f>
        <v/>
      </c>
      <c r="I98" s="15" t="inlineStr">
        <is>
          <t>alludium-platform
harmonic-mcp-oauth
affinity-mcp-server
exa-mcp-hosted
brave-search-mcp
serpapi-mcp
firecrawl-mcp-hosted
dealroom-mcp</t>
        </is>
      </c>
      <c r="J98" s="15" t="inlineStr">
        <is>
          <t>run-technical-evaluation</t>
        </is>
      </c>
      <c r="K98" s="15" t="inlineStr">
        <is>
          <t>project_instance</t>
        </is>
      </c>
    </row>
    <row r="99" ht="120" customHeight="1" s="12">
      <c r="A99" s="15" t="inlineStr"/>
      <c r="B99" s="15" t="inlineStr">
        <is>
          <t>Deal Pipeline</t>
        </is>
      </c>
      <c r="C99" s="15" t="inlineStr">
        <is>
          <t>Evaluation</t>
        </is>
      </c>
      <c r="D99" s="16">
        <f>HYPERLINK('Link Config'!$B$2&amp;"plugins/vc/tasks/run-technical-evaluation.md","Run Technical Evaluation")</f>
        <v/>
      </c>
      <c r="E99" s="15" t="inlineStr">
        <is>
          <t>Run an evaluation-stage technical and product workstream for one venture-capital opportunity, identifying product evidence, technical risk, and next proof needed before formal diligence.</t>
        </is>
      </c>
      <c r="F99" s="16">
        <f>HYPERLINK('Link Config'!$B$2&amp;"plugins/vc/agents/vc-evaluation-analyst.md","Evaluation Analyst")</f>
        <v/>
      </c>
      <c r="G99" s="16">
        <f>HYPERLINK('Link Config'!$B$2&amp;"plugins/vc/skills/red-flags-scanner/SKILL.md","Red Flags Scanner")</f>
        <v/>
      </c>
      <c r="H99" s="16">
        <f>HYPERLINK('Link Config'!$B$2&amp;"plugins/vc/alludium/documents/shared/evaluation-workstream-guide.md","Evaluation Workstream Guide (methodology)")</f>
        <v/>
      </c>
      <c r="I99" s="15" t="inlineStr">
        <is>
          <t>alludium-platform
harmonic-mcp-oauth
affinity-mcp-server
exa-mcp-hosted
brave-search-mcp
serpapi-mcp
firecrawl-mcp-hosted
dealroom-mcp</t>
        </is>
      </c>
      <c r="J99" s="15" t="inlineStr">
        <is>
          <t>run-technical-evaluation</t>
        </is>
      </c>
      <c r="K99" s="15" t="inlineStr">
        <is>
          <t>project_instance</t>
        </is>
      </c>
    </row>
    <row r="100" ht="120" customHeight="1" s="12">
      <c r="A100" s="15" t="inlineStr"/>
      <c r="B100" s="15" t="inlineStr">
        <is>
          <t>Deal Pipeline</t>
        </is>
      </c>
      <c r="C100" s="15" t="inlineStr">
        <is>
          <t>Evaluation</t>
        </is>
      </c>
      <c r="D100" s="16">
        <f>HYPERLINK('Link Config'!$B$2&amp;"plugins/vc/tasks/run-technical-evaluation.md","Run Technical Evaluation")</f>
        <v/>
      </c>
      <c r="E100" s="15" t="inlineStr">
        <is>
          <t>Run an evaluation-stage technical and product workstream for one venture-capital opportunity, identifying product evidence, technical risk, and next proof needed before formal diligence.</t>
        </is>
      </c>
      <c r="F100" s="16">
        <f>HYPERLINK('Link Config'!$B$2&amp;"plugins/vc/agents/vc-evaluation-analyst.md","Evaluation Analyst")</f>
        <v/>
      </c>
      <c r="G100" s="16">
        <f>HYPERLINK('Link Config'!$B$2&amp;"plugins/vc/skills/citation-enforcement/SKILL.md","Citation Enforcement")</f>
        <v/>
      </c>
      <c r="H100" s="16">
        <f>HYPERLINK('Link Config'!$B$2&amp;"plugins/vc/alludium/documents/deal-room/technical-evaluation-guide.md","Technical Evaluation Guide (methodology)")</f>
        <v/>
      </c>
      <c r="I100" s="15" t="inlineStr">
        <is>
          <t>alludium-platform
harmonic-mcp-oauth
affinity-mcp-server
exa-mcp-hosted
brave-search-mcp
serpapi-mcp
firecrawl-mcp-hosted
dealroom-mcp</t>
        </is>
      </c>
      <c r="J100" s="15" t="inlineStr">
        <is>
          <t>run-technical-evaluation</t>
        </is>
      </c>
      <c r="K100" s="15" t="inlineStr">
        <is>
          <t>project_instance</t>
        </is>
      </c>
    </row>
    <row r="101" ht="120" customHeight="1" s="12">
      <c r="A101" s="15" t="inlineStr"/>
      <c r="B101" s="15" t="inlineStr">
        <is>
          <t>Deal Pipeline</t>
        </is>
      </c>
      <c r="C101" s="15" t="inlineStr">
        <is>
          <t>Evaluation</t>
        </is>
      </c>
      <c r="D101" s="16">
        <f>HYPERLINK('Link Config'!$B$2&amp;"plugins/vc/tasks/run-technical-evaluation.md","Run Technical Evaluation")</f>
        <v/>
      </c>
      <c r="E101" s="15" t="inlineStr">
        <is>
          <t>Run an evaluation-stage technical and product workstream for one venture-capital opportunity, identifying product evidence, technical risk, and next proof needed before formal diligence.</t>
        </is>
      </c>
      <c r="F101" s="16">
        <f>HYPERLINK('Link Config'!$B$2&amp;"plugins/vc/agents/vc-evaluation-analyst.md","Evaluation Analyst")</f>
        <v/>
      </c>
      <c r="G101" s="15" t="inlineStr"/>
      <c r="H101" s="16">
        <f>HYPERLINK('Link Config'!$B$2&amp;"plugins/vc/alludium/documents/shared/opportunity-evaluation-framework.md","Opportunity Evaluation Framework (methodology)")</f>
        <v/>
      </c>
      <c r="I101" s="15" t="inlineStr">
        <is>
          <t>alludium-platform
harmonic-mcp-oauth
affinity-mcp-server
exa-mcp-hosted
brave-search-mcp
serpapi-mcp
firecrawl-mcp-hosted
dealroom-mcp</t>
        </is>
      </c>
      <c r="J101" s="15" t="inlineStr">
        <is>
          <t>run-technical-evaluation</t>
        </is>
      </c>
      <c r="K101" s="15" t="inlineStr">
        <is>
          <t>project_instance</t>
        </is>
      </c>
    </row>
    <row r="102" ht="120" customHeight="1" s="12">
      <c r="A102" s="15" t="inlineStr"/>
      <c r="B102" s="15" t="inlineStr">
        <is>
          <t>Deal Pipeline</t>
        </is>
      </c>
      <c r="C102" s="15" t="inlineStr">
        <is>
          <t>Evaluation</t>
        </is>
      </c>
      <c r="D102" s="16">
        <f>HYPERLINK('Link Config'!$B$2&amp;"plugins/vc/tasks/run-technical-evaluation.md","Run Technical Evaluation")</f>
        <v/>
      </c>
      <c r="E102" s="15" t="inlineStr">
        <is>
          <t>Run an evaluation-stage technical and product workstream for one venture-capital opportunity, identifying product evidence, technical risk, and next proof needed before formal diligence.</t>
        </is>
      </c>
      <c r="F102" s="16">
        <f>HYPERLINK('Link Config'!$B$2&amp;"plugins/vc/agents/vc-evaluation-analyst.md","Evaluation Analyst")</f>
        <v/>
      </c>
      <c r="G102" s="15" t="inlineStr"/>
      <c r="H102" s="16">
        <f>HYPERLINK('Link Config'!$B$2&amp;"plugins/vc/alludium/documents/shared/evidence-citation-style-guide.md","Evidence And Citation Style Guide (style_guide)")</f>
        <v/>
      </c>
      <c r="I102" s="15" t="inlineStr">
        <is>
          <t>alludium-platform
harmonic-mcp-oauth
affinity-mcp-server
exa-mcp-hosted
brave-search-mcp
serpapi-mcp
firecrawl-mcp-hosted
dealroom-mcp</t>
        </is>
      </c>
      <c r="J102" s="15" t="inlineStr">
        <is>
          <t>run-technical-evaluation</t>
        </is>
      </c>
      <c r="K102" s="15" t="inlineStr">
        <is>
          <t>project_instance</t>
        </is>
      </c>
    </row>
    <row r="103" ht="120" customHeight="1" s="12">
      <c r="A103" s="15" t="inlineStr"/>
      <c r="B103" s="15" t="inlineStr">
        <is>
          <t>Deal Pipeline</t>
        </is>
      </c>
      <c r="C103" s="15" t="inlineStr">
        <is>
          <t>Evaluation</t>
        </is>
      </c>
      <c r="D103" s="16">
        <f>HYPERLINK('Link Config'!$B$2&amp;"plugins/vc/tasks/run-technical-evaluation.md","Run Technical Evaluation")</f>
        <v/>
      </c>
      <c r="E103" s="15" t="inlineStr">
        <is>
          <t>Run an evaluation-stage technical and product workstream for one venture-capital opportunity, identifying product evidence, technical risk, and next proof needed before formal diligence.</t>
        </is>
      </c>
      <c r="F103" s="16">
        <f>HYPERLINK('Link Config'!$B$2&amp;"plugins/vc/agents/vc-evaluation-analyst.md","Evaluation Analyst")</f>
        <v/>
      </c>
      <c r="G103" s="15" t="inlineStr"/>
      <c r="H103" s="16">
        <f>HYPERLINK('Link Config'!$B$2&amp;"plugins/vc/alludium/documents/shared/template-use-guidance.md","Template Use Guidance (operating_guidance)")</f>
        <v/>
      </c>
      <c r="I103" s="15" t="inlineStr">
        <is>
          <t>alludium-platform
harmonic-mcp-oauth
affinity-mcp-server
exa-mcp-hosted
brave-search-mcp
serpapi-mcp
firecrawl-mcp-hosted
dealroom-mcp</t>
        </is>
      </c>
      <c r="J103" s="15" t="inlineStr">
        <is>
          <t>run-technical-evaluation</t>
        </is>
      </c>
      <c r="K103" s="15" t="inlineStr">
        <is>
          <t>project_instance</t>
        </is>
      </c>
    </row>
    <row r="104" ht="120" customHeight="1" s="12">
      <c r="A104" s="15" t="inlineStr"/>
      <c r="B104" s="15" t="inlineStr">
        <is>
          <t>Deal Pipeline</t>
        </is>
      </c>
      <c r="C104" s="15" t="inlineStr">
        <is>
          <t>Evaluation</t>
        </is>
      </c>
      <c r="D104" s="16">
        <f>HYPERLINK('Link Config'!$B$2&amp;"plugins/vc/tasks/run-financial-evaluation.md","Run Financial Evaluation")</f>
        <v/>
      </c>
      <c r="E104" s="15" t="inlineStr">
        <is>
          <t>Run an evaluation-stage financial and financing workstream for one venture-capital opportunity, identifying model evidence, financing risk, and next proof needed before formal diligence.</t>
        </is>
      </c>
      <c r="F104" s="16">
        <f>HYPERLINK('Link Config'!$B$2&amp;"plugins/vc/agents/vc-evaluation-analyst.md","Evaluation Analyst")</f>
        <v/>
      </c>
      <c r="G104" s="16">
        <f>HYPERLINK('Link Config'!$B$2&amp;"plugins/vc/skills/financial-evaluation-and-financing-risk/SKILL.md","Financial Evaluation &amp; Financing Risk")</f>
        <v/>
      </c>
      <c r="H104" s="16">
        <f>HYPERLINK('Link Config'!$B$2&amp;"plugins/vc/alludium/documents/deal-room/financial-evaluation-template.md","Financial Evaluation Template (output_template, to financial_evaluation_artifact_id)")</f>
        <v/>
      </c>
      <c r="I104" s="15" t="inlineStr">
        <is>
          <t>alludium-platform
harmonic-mcp-oauth
affinity-mcp-server
exa-mcp-hosted
brave-search-mcp
serpapi-mcp
firecrawl-mcp-hosted
dealroom-mcp</t>
        </is>
      </c>
      <c r="J104" s="15" t="inlineStr">
        <is>
          <t>run-financial-evaluation</t>
        </is>
      </c>
      <c r="K104" s="15" t="inlineStr">
        <is>
          <t>project_instance</t>
        </is>
      </c>
    </row>
    <row r="105" ht="120" customHeight="1" s="12">
      <c r="A105" s="15" t="inlineStr"/>
      <c r="B105" s="15" t="inlineStr">
        <is>
          <t>Deal Pipeline</t>
        </is>
      </c>
      <c r="C105" s="15" t="inlineStr">
        <is>
          <t>Evaluation</t>
        </is>
      </c>
      <c r="D105" s="16">
        <f>HYPERLINK('Link Config'!$B$2&amp;"plugins/vc/tasks/run-financial-evaluation.md","Run Financial Evaluation")</f>
        <v/>
      </c>
      <c r="E105" s="15" t="inlineStr">
        <is>
          <t>Run an evaluation-stage financial and financing workstream for one venture-capital opportunity, identifying model evidence, financing risk, and next proof needed before formal diligence.</t>
        </is>
      </c>
      <c r="F105" s="16">
        <f>HYPERLINK('Link Config'!$B$2&amp;"plugins/vc/agents/vc-evaluation-analyst.md","Evaluation Analyst")</f>
        <v/>
      </c>
      <c r="G105" s="16">
        <f>HYPERLINK('Link Config'!$B$2&amp;"plugins/vc/skills/citation-enforcement/SKILL.md","Citation Enforcement")</f>
        <v/>
      </c>
      <c r="H105" s="16">
        <f>HYPERLINK('Link Config'!$B$2&amp;"plugins/vc/alludium/documents/shared/evaluation-workstream-guide.md","Evaluation Workstream Guide (methodology)")</f>
        <v/>
      </c>
      <c r="I105" s="15" t="inlineStr">
        <is>
          <t>alludium-platform
harmonic-mcp-oauth
affinity-mcp-server
exa-mcp-hosted
brave-search-mcp
serpapi-mcp
firecrawl-mcp-hosted
dealroom-mcp</t>
        </is>
      </c>
      <c r="J105" s="15" t="inlineStr">
        <is>
          <t>run-financial-evaluation</t>
        </is>
      </c>
      <c r="K105" s="15" t="inlineStr">
        <is>
          <t>project_instance</t>
        </is>
      </c>
    </row>
    <row r="106" ht="120" customHeight="1" s="12">
      <c r="A106" s="15" t="inlineStr"/>
      <c r="B106" s="15" t="inlineStr">
        <is>
          <t>Deal Pipeline</t>
        </is>
      </c>
      <c r="C106" s="15" t="inlineStr">
        <is>
          <t>Evaluation</t>
        </is>
      </c>
      <c r="D106" s="16">
        <f>HYPERLINK('Link Config'!$B$2&amp;"plugins/vc/tasks/run-financial-evaluation.md","Run Financial Evaluation")</f>
        <v/>
      </c>
      <c r="E106" s="15" t="inlineStr">
        <is>
          <t>Run an evaluation-stage financial and financing workstream for one venture-capital opportunity, identifying model evidence, financing risk, and next proof needed before formal diligence.</t>
        </is>
      </c>
      <c r="F106" s="16">
        <f>HYPERLINK('Link Config'!$B$2&amp;"plugins/vc/agents/vc-evaluation-analyst.md","Evaluation Analyst")</f>
        <v/>
      </c>
      <c r="G106" s="15" t="inlineStr"/>
      <c r="H106" s="16">
        <f>HYPERLINK('Link Config'!$B$2&amp;"plugins/vc/alludium/documents/deal-room/financial-evaluation-guide.md","Financial Evaluation Guide (methodology)")</f>
        <v/>
      </c>
      <c r="I106" s="15" t="inlineStr">
        <is>
          <t>alludium-platform
harmonic-mcp-oauth
affinity-mcp-server
exa-mcp-hosted
brave-search-mcp
serpapi-mcp
firecrawl-mcp-hosted
dealroom-mcp</t>
        </is>
      </c>
      <c r="J106" s="15" t="inlineStr">
        <is>
          <t>run-financial-evaluation</t>
        </is>
      </c>
      <c r="K106" s="15" t="inlineStr">
        <is>
          <t>project_instance</t>
        </is>
      </c>
    </row>
    <row r="107" ht="120" customHeight="1" s="12">
      <c r="A107" s="15" t="inlineStr"/>
      <c r="B107" s="15" t="inlineStr">
        <is>
          <t>Deal Pipeline</t>
        </is>
      </c>
      <c r="C107" s="15" t="inlineStr">
        <is>
          <t>Evaluation</t>
        </is>
      </c>
      <c r="D107" s="16">
        <f>HYPERLINK('Link Config'!$B$2&amp;"plugins/vc/tasks/run-financial-evaluation.md","Run Financial Evaluation")</f>
        <v/>
      </c>
      <c r="E107" s="15" t="inlineStr">
        <is>
          <t>Run an evaluation-stage financial and financing workstream for one venture-capital opportunity, identifying model evidence, financing risk, and next proof needed before formal diligence.</t>
        </is>
      </c>
      <c r="F107" s="16">
        <f>HYPERLINK('Link Config'!$B$2&amp;"plugins/vc/agents/vc-evaluation-analyst.md","Evaluation Analyst")</f>
        <v/>
      </c>
      <c r="G107" s="15" t="inlineStr"/>
      <c r="H107" s="16">
        <f>HYPERLINK('Link Config'!$B$2&amp;"plugins/vc/alludium/documents/shared/opportunity-evaluation-framework.md","Opportunity Evaluation Framework (methodology)")</f>
        <v/>
      </c>
      <c r="I107" s="15" t="inlineStr">
        <is>
          <t>alludium-platform
harmonic-mcp-oauth
affinity-mcp-server
exa-mcp-hosted
brave-search-mcp
serpapi-mcp
firecrawl-mcp-hosted
dealroom-mcp</t>
        </is>
      </c>
      <c r="J107" s="15" t="inlineStr">
        <is>
          <t>run-financial-evaluation</t>
        </is>
      </c>
      <c r="K107" s="15" t="inlineStr">
        <is>
          <t>project_instance</t>
        </is>
      </c>
    </row>
    <row r="108" ht="120" customHeight="1" s="12">
      <c r="A108" s="15" t="inlineStr"/>
      <c r="B108" s="15" t="inlineStr">
        <is>
          <t>Deal Pipeline</t>
        </is>
      </c>
      <c r="C108" s="15" t="inlineStr">
        <is>
          <t>Evaluation</t>
        </is>
      </c>
      <c r="D108" s="16">
        <f>HYPERLINK('Link Config'!$B$2&amp;"plugins/vc/tasks/run-financial-evaluation.md","Run Financial Evaluation")</f>
        <v/>
      </c>
      <c r="E108" s="15" t="inlineStr">
        <is>
          <t>Run an evaluation-stage financial and financing workstream for one venture-capital opportunity, identifying model evidence, financing risk, and next proof needed before formal diligence.</t>
        </is>
      </c>
      <c r="F108" s="16">
        <f>HYPERLINK('Link Config'!$B$2&amp;"plugins/vc/agents/vc-evaluation-analyst.md","Evaluation Analyst")</f>
        <v/>
      </c>
      <c r="G108" s="15" t="inlineStr"/>
      <c r="H108" s="16">
        <f>HYPERLINK('Link Config'!$B$2&amp;"plugins/vc/alludium/documents/shared/evidence-citation-style-guide.md","Evidence And Citation Style Guide (style_guide)")</f>
        <v/>
      </c>
      <c r="I108" s="15" t="inlineStr">
        <is>
          <t>alludium-platform
harmonic-mcp-oauth
affinity-mcp-server
exa-mcp-hosted
brave-search-mcp
serpapi-mcp
firecrawl-mcp-hosted
dealroom-mcp</t>
        </is>
      </c>
      <c r="J108" s="15" t="inlineStr">
        <is>
          <t>run-financial-evaluation</t>
        </is>
      </c>
      <c r="K108" s="15" t="inlineStr">
        <is>
          <t>project_instance</t>
        </is>
      </c>
    </row>
    <row r="109" ht="120" customHeight="1" s="12">
      <c r="A109" s="15" t="inlineStr"/>
      <c r="B109" s="15" t="inlineStr">
        <is>
          <t>Deal Pipeline</t>
        </is>
      </c>
      <c r="C109" s="15" t="inlineStr">
        <is>
          <t>Evaluation</t>
        </is>
      </c>
      <c r="D109" s="16">
        <f>HYPERLINK('Link Config'!$B$2&amp;"plugins/vc/tasks/run-financial-evaluation.md","Run Financial Evaluation")</f>
        <v/>
      </c>
      <c r="E109" s="15" t="inlineStr">
        <is>
          <t>Run an evaluation-stage financial and financing workstream for one venture-capital opportunity, identifying model evidence, financing risk, and next proof needed before formal diligence.</t>
        </is>
      </c>
      <c r="F109" s="16">
        <f>HYPERLINK('Link Config'!$B$2&amp;"plugins/vc/agents/vc-evaluation-analyst.md","Evaluation Analyst")</f>
        <v/>
      </c>
      <c r="G109" s="15" t="inlineStr"/>
      <c r="H109" s="16">
        <f>HYPERLINK('Link Config'!$B$2&amp;"plugins/vc/alludium/documents/shared/template-use-guidance.md","Template Use Guidance (operating_guidance)")</f>
        <v/>
      </c>
      <c r="I109" s="15" t="inlineStr">
        <is>
          <t>alludium-platform
harmonic-mcp-oauth
affinity-mcp-server
exa-mcp-hosted
brave-search-mcp
serpapi-mcp
firecrawl-mcp-hosted
dealroom-mcp</t>
        </is>
      </c>
      <c r="J109" s="15" t="inlineStr">
        <is>
          <t>run-financial-evaluation</t>
        </is>
      </c>
      <c r="K109" s="15" t="inlineStr">
        <is>
          <t>project_instance</t>
        </is>
      </c>
    </row>
    <row r="110" ht="120" customHeight="1" s="12">
      <c r="A110" s="15" t="inlineStr"/>
      <c r="B110" s="15" t="inlineStr">
        <is>
          <t>Deal Pipeline</t>
        </is>
      </c>
      <c r="C110" s="15" t="inlineStr">
        <is>
          <t>Evaluation</t>
        </is>
      </c>
      <c r="D110" s="16">
        <f>HYPERLINK('Link Config'!$B$2&amp;"plugins/vc/tasks/run-team-evaluation.md","Run Team Evaluation")</f>
        <v/>
      </c>
      <c r="E110" s="15" t="inlineStr">
        <is>
          <t>Run an evaluation-stage team and founder workstream for one venture-capital opportunity, identifying founder evidence, role gaps, team risk, and next proof needed before formal diligence.</t>
        </is>
      </c>
      <c r="F110" s="16">
        <f>HYPERLINK('Link Config'!$B$2&amp;"plugins/vc/agents/vc-evaluation-analyst.md","Evaluation Analyst")</f>
        <v/>
      </c>
      <c r="G110" s="16">
        <f>HYPERLINK('Link Config'!$B$2&amp;"plugins/vc/skills/team-evaluation-and-founder-risk/SKILL.md","Team Evaluation &amp; Founder Risk")</f>
        <v/>
      </c>
      <c r="H110" s="16">
        <f>HYPERLINK('Link Config'!$B$2&amp;"plugins/vc/alludium/documents/deal-room/team-evaluation-template.md","Team Evaluation Template (output_template, to team_evaluation_artifact_id)")</f>
        <v/>
      </c>
      <c r="I110" s="15" t="inlineStr">
        <is>
          <t>alludium-platform
harmonic-mcp-oauth
affinity-mcp-server
exa-mcp-hosted
brave-search-mcp
serpapi-mcp
firecrawl-mcp-hosted
dealroom-mcp</t>
        </is>
      </c>
      <c r="J110" s="15" t="inlineStr">
        <is>
          <t>run-team-evaluation</t>
        </is>
      </c>
      <c r="K110" s="15" t="inlineStr">
        <is>
          <t>project_instance</t>
        </is>
      </c>
    </row>
    <row r="111" ht="120" customHeight="1" s="12">
      <c r="A111" s="15" t="inlineStr"/>
      <c r="B111" s="15" t="inlineStr">
        <is>
          <t>Deal Pipeline</t>
        </is>
      </c>
      <c r="C111" s="15" t="inlineStr">
        <is>
          <t>Evaluation</t>
        </is>
      </c>
      <c r="D111" s="16">
        <f>HYPERLINK('Link Config'!$B$2&amp;"plugins/vc/tasks/run-team-evaluation.md","Run Team Evaluation")</f>
        <v/>
      </c>
      <c r="E111" s="15" t="inlineStr">
        <is>
          <t>Run an evaluation-stage team and founder workstream for one venture-capital opportunity, identifying founder evidence, role gaps, team risk, and next proof needed before formal diligence.</t>
        </is>
      </c>
      <c r="F111" s="16">
        <f>HYPERLINK('Link Config'!$B$2&amp;"plugins/vc/agents/vc-evaluation-analyst.md","Evaluation Analyst")</f>
        <v/>
      </c>
      <c r="G111" s="16">
        <f>HYPERLINK('Link Config'!$B$2&amp;"plugins/vc/skills/red-flags-scanner/SKILL.md","Red Flags Scanner")</f>
        <v/>
      </c>
      <c r="H111" s="16">
        <f>HYPERLINK('Link Config'!$B$2&amp;"plugins/vc/alludium/documents/shared/evaluation-workstream-guide.md","Evaluation Workstream Guide (methodology)")</f>
        <v/>
      </c>
      <c r="I111" s="15" t="inlineStr">
        <is>
          <t>alludium-platform
harmonic-mcp-oauth
affinity-mcp-server
exa-mcp-hosted
brave-search-mcp
serpapi-mcp
firecrawl-mcp-hosted
dealroom-mcp</t>
        </is>
      </c>
      <c r="J111" s="15" t="inlineStr">
        <is>
          <t>run-team-evaluation</t>
        </is>
      </c>
      <c r="K111" s="15" t="inlineStr">
        <is>
          <t>project_instance</t>
        </is>
      </c>
    </row>
    <row r="112" ht="120" customHeight="1" s="12">
      <c r="A112" s="15" t="inlineStr"/>
      <c r="B112" s="15" t="inlineStr">
        <is>
          <t>Deal Pipeline</t>
        </is>
      </c>
      <c r="C112" s="15" t="inlineStr">
        <is>
          <t>Evaluation</t>
        </is>
      </c>
      <c r="D112" s="16">
        <f>HYPERLINK('Link Config'!$B$2&amp;"plugins/vc/tasks/run-team-evaluation.md","Run Team Evaluation")</f>
        <v/>
      </c>
      <c r="E112" s="15" t="inlineStr">
        <is>
          <t>Run an evaluation-stage team and founder workstream for one venture-capital opportunity, identifying founder evidence, role gaps, team risk, and next proof needed before formal diligence.</t>
        </is>
      </c>
      <c r="F112" s="16">
        <f>HYPERLINK('Link Config'!$B$2&amp;"plugins/vc/agents/vc-evaluation-analyst.md","Evaluation Analyst")</f>
        <v/>
      </c>
      <c r="G112" s="16">
        <f>HYPERLINK('Link Config'!$B$2&amp;"plugins/vc/skills/citation-enforcement/SKILL.md","Citation Enforcement")</f>
        <v/>
      </c>
      <c r="H112" s="16">
        <f>HYPERLINK('Link Config'!$B$2&amp;"plugins/vc/alludium/documents/shared/opportunity-evaluation-framework.md","Opportunity Evaluation Framework (methodology)")</f>
        <v/>
      </c>
      <c r="I112" s="15" t="inlineStr">
        <is>
          <t>alludium-platform
harmonic-mcp-oauth
affinity-mcp-server
exa-mcp-hosted
brave-search-mcp
serpapi-mcp
firecrawl-mcp-hosted
dealroom-mcp</t>
        </is>
      </c>
      <c r="J112" s="15" t="inlineStr">
        <is>
          <t>run-team-evaluation</t>
        </is>
      </c>
      <c r="K112" s="15" t="inlineStr">
        <is>
          <t>project_instance</t>
        </is>
      </c>
    </row>
    <row r="113" ht="120" customHeight="1" s="12">
      <c r="A113" s="15" t="inlineStr"/>
      <c r="B113" s="15" t="inlineStr">
        <is>
          <t>Deal Pipeline</t>
        </is>
      </c>
      <c r="C113" s="15" t="inlineStr">
        <is>
          <t>Evaluation</t>
        </is>
      </c>
      <c r="D113" s="16">
        <f>HYPERLINK('Link Config'!$B$2&amp;"plugins/vc/tasks/run-team-evaluation.md","Run Team Evaluation")</f>
        <v/>
      </c>
      <c r="E113" s="15" t="inlineStr">
        <is>
          <t>Run an evaluation-stage team and founder workstream for one venture-capital opportunity, identifying founder evidence, role gaps, team risk, and next proof needed before formal diligence.</t>
        </is>
      </c>
      <c r="F113" s="16">
        <f>HYPERLINK('Link Config'!$B$2&amp;"plugins/vc/agents/vc-evaluation-analyst.md","Evaluation Analyst")</f>
        <v/>
      </c>
      <c r="G113" s="15" t="inlineStr"/>
      <c r="H113" s="16">
        <f>HYPERLINK('Link Config'!$B$2&amp;"plugins/vc/alludium/documents/shared/evidence-citation-style-guide.md","Evidence And Citation Style Guide (style_guide)")</f>
        <v/>
      </c>
      <c r="I113" s="15" t="inlineStr">
        <is>
          <t>alludium-platform
harmonic-mcp-oauth
affinity-mcp-server
exa-mcp-hosted
brave-search-mcp
serpapi-mcp
firecrawl-mcp-hosted
dealroom-mcp</t>
        </is>
      </c>
      <c r="J113" s="15" t="inlineStr">
        <is>
          <t>run-team-evaluation</t>
        </is>
      </c>
      <c r="K113" s="15" t="inlineStr">
        <is>
          <t>project_instance</t>
        </is>
      </c>
    </row>
    <row r="114" ht="120" customHeight="1" s="12">
      <c r="A114" s="15" t="inlineStr"/>
      <c r="B114" s="15" t="inlineStr">
        <is>
          <t>Deal Pipeline</t>
        </is>
      </c>
      <c r="C114" s="15" t="inlineStr">
        <is>
          <t>Evaluation</t>
        </is>
      </c>
      <c r="D114" s="16">
        <f>HYPERLINK('Link Config'!$B$2&amp;"plugins/vc/tasks/run-team-evaluation.md","Run Team Evaluation")</f>
        <v/>
      </c>
      <c r="E114" s="15" t="inlineStr">
        <is>
          <t>Run an evaluation-stage team and founder workstream for one venture-capital opportunity, identifying founder evidence, role gaps, team risk, and next proof needed before formal diligence.</t>
        </is>
      </c>
      <c r="F114" s="16">
        <f>HYPERLINK('Link Config'!$B$2&amp;"plugins/vc/agents/vc-evaluation-analyst.md","Evaluation Analyst")</f>
        <v/>
      </c>
      <c r="G114" s="15" t="inlineStr"/>
      <c r="H114" s="16">
        <f>HYPERLINK('Link Config'!$B$2&amp;"plugins/vc/alludium/documents/shared/template-use-guidance.md","Template Use Guidance (operating_guidance)")</f>
        <v/>
      </c>
      <c r="I114" s="15" t="inlineStr">
        <is>
          <t>alludium-platform
harmonic-mcp-oauth
affinity-mcp-server
exa-mcp-hosted
brave-search-mcp
serpapi-mcp
firecrawl-mcp-hosted
dealroom-mcp</t>
        </is>
      </c>
      <c r="J114" s="15" t="inlineStr">
        <is>
          <t>run-team-evaluation</t>
        </is>
      </c>
      <c r="K114" s="15" t="inlineStr">
        <is>
          <t>project_instance</t>
        </is>
      </c>
    </row>
    <row r="115" ht="120" customHeight="1" s="12">
      <c r="A115" s="15" t="inlineStr">
        <is>
          <t>Barry</t>
        </is>
      </c>
      <c r="B115" s="15" t="inlineStr">
        <is>
          <t>Deal Pipeline</t>
        </is>
      </c>
      <c r="C115" s="15" t="inlineStr">
        <is>
          <t>Evaluation</t>
        </is>
      </c>
      <c r="D115" s="16">
        <f>HYPERLINK('Link Config'!$B$2&amp;"plugins/vc/tasks/generate-diligence-questions.md","Generate Diligence Questions")</f>
        <v/>
      </c>
      <c r="E115" s="15" t="inlineStr">
        <is>
          <t>Generate a structured investment diligence question bank for one venture-capital opportunity with evidence capture, human review gates, and next-action recommendations.</t>
        </is>
      </c>
      <c r="F115" s="16">
        <f>HYPERLINK('Link Config'!$B$2&amp;"plugins/vc/agents/vc-evaluation-analyst.md","Evaluation Analyst")</f>
        <v/>
      </c>
      <c r="G115" s="16">
        <f>HYPERLINK('Link Config'!$B$2&amp;"plugins/vc/skills/investment-diligence-question-framework/SKILL.md","Investment Diligence Question Framework")</f>
        <v/>
      </c>
      <c r="H115" s="16">
        <f>HYPERLINK('Link Config'!$B$2&amp;"plugins/vc/alludium/documents/shared/investment-diligence-question-framework.md","Investment Diligence Question Framework (methodology, to diligence_question_bank_artifact_id)")</f>
        <v/>
      </c>
      <c r="I115" s="15" t="inlineStr">
        <is>
          <t>alludium-platform
harmonic-mcp-oauth
affinity-mcp-server
exa-mcp-hosted
brave-search-mcp
serpapi-mcp
firecrawl-mcp-hosted
dealroom-mcp</t>
        </is>
      </c>
      <c r="J115" s="15" t="inlineStr">
        <is>
          <t>generate-diligence-questions</t>
        </is>
      </c>
      <c r="K115" s="15" t="inlineStr">
        <is>
          <t>project_instance</t>
        </is>
      </c>
    </row>
    <row r="116" ht="120" customHeight="1" s="12">
      <c r="A116" s="15" t="inlineStr">
        <is>
          <t>Barry</t>
        </is>
      </c>
      <c r="B116" s="15" t="inlineStr">
        <is>
          <t>Deal Pipeline</t>
        </is>
      </c>
      <c r="C116" s="15" t="inlineStr">
        <is>
          <t>Evaluation</t>
        </is>
      </c>
      <c r="D116" s="16">
        <f>HYPERLINK('Link Config'!$B$2&amp;"plugins/vc/tasks/generate-diligence-questions.md","Generate Diligence Questions")</f>
        <v/>
      </c>
      <c r="E116" s="15" t="inlineStr">
        <is>
          <t>Generate a structured investment diligence question bank for one venture-capital opportunity with evidence capture, human review gates, and next-action recommendations.</t>
        </is>
      </c>
      <c r="F116" s="16">
        <f>HYPERLINK('Link Config'!$B$2&amp;"plugins/vc/agents/vc-evaluation-analyst.md","Evaluation Analyst")</f>
        <v/>
      </c>
      <c r="G116" s="16">
        <f>HYPERLINK('Link Config'!$B$2&amp;"plugins/vc/skills/citation-enforcement/SKILL.md","Citation Enforcement")</f>
        <v/>
      </c>
      <c r="H116" s="16">
        <f>HYPERLINK('Link Config'!$B$2&amp;"plugins/vc/alludium/documents/shared/opportunity-evaluation-framework.md","Opportunity Evaluation Framework (methodology)")</f>
        <v/>
      </c>
      <c r="I116" s="15" t="inlineStr">
        <is>
          <t>alludium-platform
harmonic-mcp-oauth
affinity-mcp-server
exa-mcp-hosted
brave-search-mcp
serpapi-mcp
firecrawl-mcp-hosted
dealroom-mcp</t>
        </is>
      </c>
      <c r="J116" s="15" t="inlineStr">
        <is>
          <t>generate-diligence-questions</t>
        </is>
      </c>
      <c r="K116" s="15" t="inlineStr">
        <is>
          <t>project_instance</t>
        </is>
      </c>
    </row>
    <row r="117" ht="120" customHeight="1" s="12">
      <c r="A117" s="15" t="inlineStr">
        <is>
          <t>Barry</t>
        </is>
      </c>
      <c r="B117" s="15" t="inlineStr">
        <is>
          <t>Deal Pipeline</t>
        </is>
      </c>
      <c r="C117" s="15" t="inlineStr">
        <is>
          <t>Evaluation</t>
        </is>
      </c>
      <c r="D117" s="16">
        <f>HYPERLINK('Link Config'!$B$2&amp;"plugins/vc/tasks/generate-diligence-questions.md","Generate Diligence Questions")</f>
        <v/>
      </c>
      <c r="E117" s="15" t="inlineStr">
        <is>
          <t>Generate a structured investment diligence question bank for one venture-capital opportunity with evidence capture, human review gates, and next-action recommendations.</t>
        </is>
      </c>
      <c r="F117" s="16">
        <f>HYPERLINK('Link Config'!$B$2&amp;"plugins/vc/agents/vc-evaluation-analyst.md","Evaluation Analyst")</f>
        <v/>
      </c>
      <c r="G117" s="15" t="inlineStr"/>
      <c r="H117" s="16">
        <f>HYPERLINK('Link Config'!$B$2&amp;"plugins/vc/alludium/documents/shared/evaluation-workstream-guide.md","Evaluation Workstream Guide (methodology)")</f>
        <v/>
      </c>
      <c r="I117" s="15" t="inlineStr">
        <is>
          <t>alludium-platform
harmonic-mcp-oauth
affinity-mcp-server
exa-mcp-hosted
brave-search-mcp
serpapi-mcp
firecrawl-mcp-hosted
dealroom-mcp</t>
        </is>
      </c>
      <c r="J117" s="15" t="inlineStr">
        <is>
          <t>generate-diligence-questions</t>
        </is>
      </c>
      <c r="K117" s="15" t="inlineStr">
        <is>
          <t>project_instance</t>
        </is>
      </c>
    </row>
    <row r="118" ht="120" customHeight="1" s="12">
      <c r="A118" s="15" t="inlineStr">
        <is>
          <t>Barry</t>
        </is>
      </c>
      <c r="B118" s="15" t="inlineStr">
        <is>
          <t>Deal Pipeline</t>
        </is>
      </c>
      <c r="C118" s="15" t="inlineStr">
        <is>
          <t>Evaluation</t>
        </is>
      </c>
      <c r="D118" s="16">
        <f>HYPERLINK('Link Config'!$B$2&amp;"plugins/vc/tasks/generate-diligence-questions.md","Generate Diligence Questions")</f>
        <v/>
      </c>
      <c r="E118" s="15" t="inlineStr">
        <is>
          <t>Generate a structured investment diligence question bank for one venture-capital opportunity with evidence capture, human review gates, and next-action recommendations.</t>
        </is>
      </c>
      <c r="F118" s="16">
        <f>HYPERLINK('Link Config'!$B$2&amp;"plugins/vc/agents/vc-evaluation-analyst.md","Evaluation Analyst")</f>
        <v/>
      </c>
      <c r="G118" s="15" t="inlineStr"/>
      <c r="H118" s="16">
        <f>HYPERLINK('Link Config'!$B$2&amp;"plugins/vc/alludium/documents/deal-room/commercial-evaluation-guide.md","Commercial Evaluation Guide (methodology)")</f>
        <v/>
      </c>
      <c r="I118" s="15" t="inlineStr">
        <is>
          <t>alludium-platform
harmonic-mcp-oauth
affinity-mcp-server
exa-mcp-hosted
brave-search-mcp
serpapi-mcp
firecrawl-mcp-hosted
dealroom-mcp</t>
        </is>
      </c>
      <c r="J118" s="15" t="inlineStr">
        <is>
          <t>generate-diligence-questions</t>
        </is>
      </c>
      <c r="K118" s="15" t="inlineStr">
        <is>
          <t>project_instance</t>
        </is>
      </c>
    </row>
    <row r="119" ht="120" customHeight="1" s="12">
      <c r="A119" s="15" t="inlineStr">
        <is>
          <t>Barry</t>
        </is>
      </c>
      <c r="B119" s="15" t="inlineStr">
        <is>
          <t>Deal Pipeline</t>
        </is>
      </c>
      <c r="C119" s="15" t="inlineStr">
        <is>
          <t>Evaluation</t>
        </is>
      </c>
      <c r="D119" s="16">
        <f>HYPERLINK('Link Config'!$B$2&amp;"plugins/vc/tasks/generate-diligence-questions.md","Generate Diligence Questions")</f>
        <v/>
      </c>
      <c r="E119" s="15" t="inlineStr">
        <is>
          <t>Generate a structured investment diligence question bank for one venture-capital opportunity with evidence capture, human review gates, and next-action recommendations.</t>
        </is>
      </c>
      <c r="F119" s="16">
        <f>HYPERLINK('Link Config'!$B$2&amp;"plugins/vc/agents/vc-evaluation-analyst.md","Evaluation Analyst")</f>
        <v/>
      </c>
      <c r="G119" s="15" t="inlineStr"/>
      <c r="H119" s="16">
        <f>HYPERLINK('Link Config'!$B$2&amp;"plugins/vc/alludium/documents/deal-room/technical-evaluation-guide.md","Technical Evaluation Guide (methodology)")</f>
        <v/>
      </c>
      <c r="I119" s="15" t="inlineStr">
        <is>
          <t>alludium-platform
harmonic-mcp-oauth
affinity-mcp-server
exa-mcp-hosted
brave-search-mcp
serpapi-mcp
firecrawl-mcp-hosted
dealroom-mcp</t>
        </is>
      </c>
      <c r="J119" s="15" t="inlineStr">
        <is>
          <t>generate-diligence-questions</t>
        </is>
      </c>
      <c r="K119" s="15" t="inlineStr">
        <is>
          <t>project_instance</t>
        </is>
      </c>
    </row>
    <row r="120" ht="120" customHeight="1" s="12">
      <c r="A120" s="15" t="inlineStr">
        <is>
          <t>Barry</t>
        </is>
      </c>
      <c r="B120" s="15" t="inlineStr">
        <is>
          <t>Deal Pipeline</t>
        </is>
      </c>
      <c r="C120" s="15" t="inlineStr">
        <is>
          <t>Evaluation</t>
        </is>
      </c>
      <c r="D120" s="16">
        <f>HYPERLINK('Link Config'!$B$2&amp;"plugins/vc/tasks/generate-diligence-questions.md","Generate Diligence Questions")</f>
        <v/>
      </c>
      <c r="E120" s="15" t="inlineStr">
        <is>
          <t>Generate a structured investment diligence question bank for one venture-capital opportunity with evidence capture, human review gates, and next-action recommendations.</t>
        </is>
      </c>
      <c r="F120" s="16">
        <f>HYPERLINK('Link Config'!$B$2&amp;"plugins/vc/agents/vc-evaluation-analyst.md","Evaluation Analyst")</f>
        <v/>
      </c>
      <c r="G120" s="15" t="inlineStr"/>
      <c r="H120" s="16">
        <f>HYPERLINK('Link Config'!$B$2&amp;"plugins/vc/alludium/documents/deal-room/financial-evaluation-guide.md","Financial Evaluation Guide (methodology)")</f>
        <v/>
      </c>
      <c r="I120" s="15" t="inlineStr">
        <is>
          <t>alludium-platform
harmonic-mcp-oauth
affinity-mcp-server
exa-mcp-hosted
brave-search-mcp
serpapi-mcp
firecrawl-mcp-hosted
dealroom-mcp</t>
        </is>
      </c>
      <c r="J120" s="15" t="inlineStr">
        <is>
          <t>generate-diligence-questions</t>
        </is>
      </c>
      <c r="K120" s="15" t="inlineStr">
        <is>
          <t>project_instance</t>
        </is>
      </c>
    </row>
    <row r="121" ht="120" customHeight="1" s="12">
      <c r="A121" s="15" t="inlineStr">
        <is>
          <t>Barry</t>
        </is>
      </c>
      <c r="B121" s="15" t="inlineStr">
        <is>
          <t>Deal Pipeline</t>
        </is>
      </c>
      <c r="C121" s="15" t="inlineStr">
        <is>
          <t>Evaluation</t>
        </is>
      </c>
      <c r="D121" s="16">
        <f>HYPERLINK('Link Config'!$B$2&amp;"plugins/vc/tasks/generate-diligence-questions.md","Generate Diligence Questions")</f>
        <v/>
      </c>
      <c r="E121" s="15" t="inlineStr">
        <is>
          <t>Generate a structured investment diligence question bank for one venture-capital opportunity with evidence capture, human review gates, and next-action recommendations.</t>
        </is>
      </c>
      <c r="F121" s="16">
        <f>HYPERLINK('Link Config'!$B$2&amp;"plugins/vc/agents/vc-evaluation-analyst.md","Evaluation Analyst")</f>
        <v/>
      </c>
      <c r="G121" s="15" t="inlineStr"/>
      <c r="H121" s="16">
        <f>HYPERLINK('Link Config'!$B$2&amp;"plugins/vc/alludium/documents/deal-room/formal-diligence-workstream-guide.md","Formal Diligence Workstream Guide (methodology)")</f>
        <v/>
      </c>
      <c r="I121" s="15" t="inlineStr">
        <is>
          <t>alludium-platform
harmonic-mcp-oauth
affinity-mcp-server
exa-mcp-hosted
brave-search-mcp
serpapi-mcp
firecrawl-mcp-hosted
dealroom-mcp</t>
        </is>
      </c>
      <c r="J121" s="15" t="inlineStr">
        <is>
          <t>generate-diligence-questions</t>
        </is>
      </c>
      <c r="K121" s="15" t="inlineStr">
        <is>
          <t>project_instance</t>
        </is>
      </c>
    </row>
    <row r="122" ht="120" customHeight="1" s="12">
      <c r="A122" s="15" t="inlineStr">
        <is>
          <t>Barry</t>
        </is>
      </c>
      <c r="B122" s="15" t="inlineStr">
        <is>
          <t>Deal Pipeline</t>
        </is>
      </c>
      <c r="C122" s="15" t="inlineStr">
        <is>
          <t>Evaluation</t>
        </is>
      </c>
      <c r="D122" s="16">
        <f>HYPERLINK('Link Config'!$B$2&amp;"plugins/vc/tasks/generate-diligence-questions.md","Generate Diligence Questions")</f>
        <v/>
      </c>
      <c r="E122" s="15" t="inlineStr">
        <is>
          <t>Generate a structured investment diligence question bank for one venture-capital opportunity with evidence capture, human review gates, and next-action recommendations.</t>
        </is>
      </c>
      <c r="F122" s="16">
        <f>HYPERLINK('Link Config'!$B$2&amp;"plugins/vc/agents/vc-evaluation-analyst.md","Evaluation Analyst")</f>
        <v/>
      </c>
      <c r="G122" s="15" t="inlineStr"/>
      <c r="H122" s="16">
        <f>HYPERLINK('Link Config'!$B$2&amp;"plugins/vc/alludium/documents/deal-room/formal-diligence-checklist.md","Formal Diligence Checklist (checklist)")</f>
        <v/>
      </c>
      <c r="I122" s="15" t="inlineStr">
        <is>
          <t>alludium-platform
harmonic-mcp-oauth
affinity-mcp-server
exa-mcp-hosted
brave-search-mcp
serpapi-mcp
firecrawl-mcp-hosted
dealroom-mcp</t>
        </is>
      </c>
      <c r="J122" s="15" t="inlineStr">
        <is>
          <t>generate-diligence-questions</t>
        </is>
      </c>
      <c r="K122" s="15" t="inlineStr">
        <is>
          <t>project_instance</t>
        </is>
      </c>
    </row>
    <row r="123" ht="120" customHeight="1" s="12">
      <c r="A123" s="15" t="inlineStr">
        <is>
          <t>Barry</t>
        </is>
      </c>
      <c r="B123" s="15" t="inlineStr">
        <is>
          <t>Deal Pipeline</t>
        </is>
      </c>
      <c r="C123" s="15" t="inlineStr">
        <is>
          <t>Evaluation</t>
        </is>
      </c>
      <c r="D123" s="16">
        <f>HYPERLINK('Link Config'!$B$2&amp;"plugins/vc/tasks/generate-diligence-questions.md","Generate Diligence Questions")</f>
        <v/>
      </c>
      <c r="E123" s="15" t="inlineStr">
        <is>
          <t>Generate a structured investment diligence question bank for one venture-capital opportunity with evidence capture, human review gates, and next-action recommendations.</t>
        </is>
      </c>
      <c r="F123" s="16">
        <f>HYPERLINK('Link Config'!$B$2&amp;"plugins/vc/agents/vc-evaluation-analyst.md","Evaluation Analyst")</f>
        <v/>
      </c>
      <c r="G123" s="15" t="inlineStr"/>
      <c r="H123" s="16">
        <f>HYPERLINK('Link Config'!$B$2&amp;"plugins/vc/alludium/documents/deal-room/legal-diligence-guide.md","Legal Diligence Guide (methodology)")</f>
        <v/>
      </c>
      <c r="I123" s="15" t="inlineStr">
        <is>
          <t>alludium-platform
harmonic-mcp-oauth
affinity-mcp-server
exa-mcp-hosted
brave-search-mcp
serpapi-mcp
firecrawl-mcp-hosted
dealroom-mcp</t>
        </is>
      </c>
      <c r="J123" s="15" t="inlineStr">
        <is>
          <t>generate-diligence-questions</t>
        </is>
      </c>
      <c r="K123" s="15" t="inlineStr">
        <is>
          <t>project_instance</t>
        </is>
      </c>
    </row>
    <row r="124" ht="120" customHeight="1" s="12">
      <c r="A124" s="15" t="inlineStr">
        <is>
          <t>Barry</t>
        </is>
      </c>
      <c r="B124" s="15" t="inlineStr">
        <is>
          <t>Deal Pipeline</t>
        </is>
      </c>
      <c r="C124" s="15" t="inlineStr">
        <is>
          <t>Evaluation</t>
        </is>
      </c>
      <c r="D124" s="16">
        <f>HYPERLINK('Link Config'!$B$2&amp;"plugins/vc/tasks/generate-diligence-questions.md","Generate Diligence Questions")</f>
        <v/>
      </c>
      <c r="E124" s="15" t="inlineStr">
        <is>
          <t>Generate a structured investment diligence question bank for one venture-capital opportunity with evidence capture, human review gates, and next-action recommendations.</t>
        </is>
      </c>
      <c r="F124" s="16">
        <f>HYPERLINK('Link Config'!$B$2&amp;"plugins/vc/agents/vc-evaluation-analyst.md","Evaluation Analyst")</f>
        <v/>
      </c>
      <c r="G124" s="15" t="inlineStr"/>
      <c r="H124" s="16">
        <f>HYPERLINK('Link Config'!$B$2&amp;"plugins/vc/alludium/documents/shared/evidence-citation-style-guide.md","Evidence And Citation Style Guide (style_guide)")</f>
        <v/>
      </c>
      <c r="I124" s="15" t="inlineStr">
        <is>
          <t>alludium-platform
harmonic-mcp-oauth
affinity-mcp-server
exa-mcp-hosted
brave-search-mcp
serpapi-mcp
firecrawl-mcp-hosted
dealroom-mcp</t>
        </is>
      </c>
      <c r="J124" s="15" t="inlineStr">
        <is>
          <t>generate-diligence-questions</t>
        </is>
      </c>
      <c r="K124" s="15" t="inlineStr">
        <is>
          <t>project_instance</t>
        </is>
      </c>
    </row>
    <row r="125" ht="120" customHeight="1" s="12">
      <c r="A125" s="15" t="inlineStr">
        <is>
          <t>Barry</t>
        </is>
      </c>
      <c r="B125" s="15" t="inlineStr">
        <is>
          <t>Deal Pipeline</t>
        </is>
      </c>
      <c r="C125" s="15" t="inlineStr">
        <is>
          <t>Evaluation</t>
        </is>
      </c>
      <c r="D125" s="16">
        <f>HYPERLINK('Link Config'!$B$2&amp;"plugins/vc/tasks/generate-diligence-questions.md","Generate Diligence Questions")</f>
        <v/>
      </c>
      <c r="E125" s="15" t="inlineStr">
        <is>
          <t>Generate a structured investment diligence question bank for one venture-capital opportunity with evidence capture, human review gates, and next-action recommendations.</t>
        </is>
      </c>
      <c r="F125" s="16">
        <f>HYPERLINK('Link Config'!$B$2&amp;"plugins/vc/agents/vc-evaluation-analyst.md","Evaluation Analyst")</f>
        <v/>
      </c>
      <c r="G125" s="15" t="inlineStr"/>
      <c r="H125" s="16">
        <f>HYPERLINK('Link Config'!$B$2&amp;"plugins/vc/alludium/documents/shared/template-use-guidance.md","Template Use Guidance (operating_guidance)")</f>
        <v/>
      </c>
      <c r="I125" s="15" t="inlineStr">
        <is>
          <t>alludium-platform
harmonic-mcp-oauth
affinity-mcp-server
exa-mcp-hosted
brave-search-mcp
serpapi-mcp
firecrawl-mcp-hosted
dealroom-mcp</t>
        </is>
      </c>
      <c r="J125" s="15" t="inlineStr">
        <is>
          <t>generate-diligence-questions</t>
        </is>
      </c>
      <c r="K125" s="15" t="inlineStr">
        <is>
          <t>project_instance</t>
        </is>
      </c>
    </row>
    <row r="126" ht="120" customHeight="1" s="12">
      <c r="A126" s="15" t="inlineStr">
        <is>
          <t>Saurabh</t>
        </is>
      </c>
      <c r="B126" s="15" t="inlineStr">
        <is>
          <t>Deal Pipeline</t>
        </is>
      </c>
      <c r="C126" s="15" t="inlineStr">
        <is>
          <t>Decision Review</t>
        </is>
      </c>
      <c r="D126" s="16">
        <f>HYPERLINK('Link Config'!$B$2&amp;"plugins/vc/tasks/prepare-team-review-pack.md","Prepare Team Review Pack")</f>
        <v/>
      </c>
      <c r="E126" s="15" t="inlineStr">
        <is>
          <t>Prepare Team Review Pack for one venture-capital opportunity with evidence capture, human review gates, and next-action recommendations.</t>
        </is>
      </c>
      <c r="F126" s="16">
        <f>HYPERLINK('Link Config'!$B$2&amp;"plugins/vc/agents/vc-diligence-analyst.md","Diligence Analyst")</f>
        <v/>
      </c>
      <c r="G126" s="16">
        <f>HYPERLINK('Link Config'!$B$2&amp;"plugins/vc/skills/ic-memo-assembly/SKILL.md","IC Memo Assembly")</f>
        <v/>
      </c>
      <c r="H126" s="16">
        <f>HYPERLINK('Link Config'!$B$2&amp;"plugins/vc/alludium/documents/deal-room/review-pack-checklist.md","Review Pack Checklist (output_template, to team_review_pack_artifact_id)")</f>
        <v/>
      </c>
      <c r="I126" s="15" t="inlineStr">
        <is>
          <t>alludium-platform
harmonic-mcp-oauth
affinity-mcp-server
exa-mcp-hosted
brave-search-mcp
serpapi-mcp
firecrawl-mcp-hosted
dealroom-mcp</t>
        </is>
      </c>
      <c r="J126" s="15" t="inlineStr">
        <is>
          <t>prepare-team-review-pack</t>
        </is>
      </c>
      <c r="K126" s="15" t="inlineStr">
        <is>
          <t>project_instance</t>
        </is>
      </c>
    </row>
    <row r="127" ht="120" customHeight="1" s="12">
      <c r="A127" s="15" t="inlineStr">
        <is>
          <t>Saurabh</t>
        </is>
      </c>
      <c r="B127" s="15" t="inlineStr">
        <is>
          <t>Deal Pipeline</t>
        </is>
      </c>
      <c r="C127" s="15" t="inlineStr">
        <is>
          <t>Decision Review</t>
        </is>
      </c>
      <c r="D127" s="16">
        <f>HYPERLINK('Link Config'!$B$2&amp;"plugins/vc/tasks/prepare-team-review-pack.md","Prepare Team Review Pack")</f>
        <v/>
      </c>
      <c r="E127" s="15" t="inlineStr">
        <is>
          <t>Prepare Team Review Pack for one venture-capital opportunity with evidence capture, human review gates, and next-action recommendations.</t>
        </is>
      </c>
      <c r="F127" s="16">
        <f>HYPERLINK('Link Config'!$B$2&amp;"plugins/vc/agents/vc-diligence-analyst.md","Diligence Analyst")</f>
        <v/>
      </c>
      <c r="G127" s="16">
        <f>HYPERLINK('Link Config'!$B$2&amp;"plugins/vc/skills/citation-enforcement/SKILL.md","Citation Enforcement")</f>
        <v/>
      </c>
      <c r="H127" s="16">
        <f>HYPERLINK('Link Config'!$B$2&amp;"plugins/vc/alludium/documents/shared/opportunity-evaluation-framework.md","Opportunity Evaluation Framework (methodology)")</f>
        <v/>
      </c>
      <c r="I127" s="15" t="inlineStr">
        <is>
          <t>alludium-platform
harmonic-mcp-oauth
affinity-mcp-server
exa-mcp-hosted
brave-search-mcp
serpapi-mcp
firecrawl-mcp-hosted
dealroom-mcp</t>
        </is>
      </c>
      <c r="J127" s="15" t="inlineStr">
        <is>
          <t>prepare-team-review-pack</t>
        </is>
      </c>
      <c r="K127" s="15" t="inlineStr">
        <is>
          <t>project_instance</t>
        </is>
      </c>
    </row>
    <row r="128" ht="120" customHeight="1" s="12">
      <c r="A128" s="15" t="inlineStr">
        <is>
          <t>Saurabh</t>
        </is>
      </c>
      <c r="B128" s="15" t="inlineStr">
        <is>
          <t>Deal Pipeline</t>
        </is>
      </c>
      <c r="C128" s="15" t="inlineStr">
        <is>
          <t>Decision Review</t>
        </is>
      </c>
      <c r="D128" s="16">
        <f>HYPERLINK('Link Config'!$B$2&amp;"plugins/vc/tasks/prepare-team-review-pack.md","Prepare Team Review Pack")</f>
        <v/>
      </c>
      <c r="E128" s="15" t="inlineStr">
        <is>
          <t>Prepare Team Review Pack for one venture-capital opportunity with evidence capture, human review gates, and next-action recommendations.</t>
        </is>
      </c>
      <c r="F128" s="16">
        <f>HYPERLINK('Link Config'!$B$2&amp;"plugins/vc/agents/vc-diligence-analyst.md","Diligence Analyst")</f>
        <v/>
      </c>
      <c r="G128" s="15" t="inlineStr"/>
      <c r="H128" s="16">
        <f>HYPERLINK('Link Config'!$B$2&amp;"plugins/vc/alludium/documents/shared/evaluation-workstream-guide.md","Evaluation Workstream Guide (methodology)")</f>
        <v/>
      </c>
      <c r="I128" s="15" t="inlineStr">
        <is>
          <t>alludium-platform
harmonic-mcp-oauth
affinity-mcp-server
exa-mcp-hosted
brave-search-mcp
serpapi-mcp
firecrawl-mcp-hosted
dealroom-mcp</t>
        </is>
      </c>
      <c r="J128" s="15" t="inlineStr">
        <is>
          <t>prepare-team-review-pack</t>
        </is>
      </c>
      <c r="K128" s="15" t="inlineStr">
        <is>
          <t>project_instance</t>
        </is>
      </c>
    </row>
    <row r="129" ht="120" customHeight="1" s="12">
      <c r="A129" s="15" t="inlineStr">
        <is>
          <t>Saurabh</t>
        </is>
      </c>
      <c r="B129" s="15" t="inlineStr">
        <is>
          <t>Deal Pipeline</t>
        </is>
      </c>
      <c r="C129" s="15" t="inlineStr">
        <is>
          <t>Decision Review</t>
        </is>
      </c>
      <c r="D129" s="16">
        <f>HYPERLINK('Link Config'!$B$2&amp;"plugins/vc/tasks/prepare-team-review-pack.md","Prepare Team Review Pack")</f>
        <v/>
      </c>
      <c r="E129" s="15" t="inlineStr">
        <is>
          <t>Prepare Team Review Pack for one venture-capital opportunity with evidence capture, human review gates, and next-action recommendations.</t>
        </is>
      </c>
      <c r="F129" s="16">
        <f>HYPERLINK('Link Config'!$B$2&amp;"plugins/vc/agents/vc-diligence-analyst.md","Diligence Analyst")</f>
        <v/>
      </c>
      <c r="G129" s="15" t="inlineStr"/>
      <c r="H129" s="16">
        <f>HYPERLINK('Link Config'!$B$2&amp;"plugins/vc/alludium/documents/deal-room/formal-diligence-workstream-guide.md","Formal Diligence Workstream Guide (methodology)")</f>
        <v/>
      </c>
      <c r="I129" s="15" t="inlineStr">
        <is>
          <t>alludium-platform
harmonic-mcp-oauth
affinity-mcp-server
exa-mcp-hosted
brave-search-mcp
serpapi-mcp
firecrawl-mcp-hosted
dealroom-mcp</t>
        </is>
      </c>
      <c r="J129" s="15" t="inlineStr">
        <is>
          <t>prepare-team-review-pack</t>
        </is>
      </c>
      <c r="K129" s="15" t="inlineStr">
        <is>
          <t>project_instance</t>
        </is>
      </c>
    </row>
    <row r="130" ht="120" customHeight="1" s="12">
      <c r="A130" s="15" t="inlineStr">
        <is>
          <t>Saurabh</t>
        </is>
      </c>
      <c r="B130" s="15" t="inlineStr">
        <is>
          <t>Deal Pipeline</t>
        </is>
      </c>
      <c r="C130" s="15" t="inlineStr">
        <is>
          <t>Decision Review</t>
        </is>
      </c>
      <c r="D130" s="16">
        <f>HYPERLINK('Link Config'!$B$2&amp;"plugins/vc/tasks/prepare-team-review-pack.md","Prepare Team Review Pack")</f>
        <v/>
      </c>
      <c r="E130" s="15" t="inlineStr">
        <is>
          <t>Prepare Team Review Pack for one venture-capital opportunity with evidence capture, human review gates, and next-action recommendations.</t>
        </is>
      </c>
      <c r="F130" s="16">
        <f>HYPERLINK('Link Config'!$B$2&amp;"plugins/vc/agents/vc-diligence-analyst.md","Diligence Analyst")</f>
        <v/>
      </c>
      <c r="G130" s="15" t="inlineStr"/>
      <c r="H130" s="16">
        <f>HYPERLINK('Link Config'!$B$2&amp;"plugins/vc/alludium/documents/deal-room/formal-diligence-checklist.md","Formal Diligence Checklist (checklist)")</f>
        <v/>
      </c>
      <c r="I130" s="15" t="inlineStr">
        <is>
          <t>alludium-platform
harmonic-mcp-oauth
affinity-mcp-server
exa-mcp-hosted
brave-search-mcp
serpapi-mcp
firecrawl-mcp-hosted
dealroom-mcp</t>
        </is>
      </c>
      <c r="J130" s="15" t="inlineStr">
        <is>
          <t>prepare-team-review-pack</t>
        </is>
      </c>
      <c r="K130" s="15" t="inlineStr">
        <is>
          <t>project_instance</t>
        </is>
      </c>
    </row>
    <row r="131" ht="120" customHeight="1" s="12">
      <c r="A131" s="15" t="inlineStr">
        <is>
          <t>Saurabh</t>
        </is>
      </c>
      <c r="B131" s="15" t="inlineStr">
        <is>
          <t>Deal Pipeline</t>
        </is>
      </c>
      <c r="C131" s="15" t="inlineStr">
        <is>
          <t>Decision Review</t>
        </is>
      </c>
      <c r="D131" s="16">
        <f>HYPERLINK('Link Config'!$B$2&amp;"plugins/vc/tasks/prepare-team-review-pack.md","Prepare Team Review Pack")</f>
        <v/>
      </c>
      <c r="E131" s="15" t="inlineStr">
        <is>
          <t>Prepare Team Review Pack for one venture-capital opportunity with evidence capture, human review gates, and next-action recommendations.</t>
        </is>
      </c>
      <c r="F131" s="16">
        <f>HYPERLINK('Link Config'!$B$2&amp;"plugins/vc/agents/vc-diligence-analyst.md","Diligence Analyst")</f>
        <v/>
      </c>
      <c r="G131" s="15" t="inlineStr"/>
      <c r="H131" s="16">
        <f>HYPERLINK('Link Config'!$B$2&amp;"plugins/vc/alludium/documents/shared/evidence-citation-style-guide.md","Evidence And Citation Style Guide (style_guide)")</f>
        <v/>
      </c>
      <c r="I131" s="15" t="inlineStr">
        <is>
          <t>alludium-platform
harmonic-mcp-oauth
affinity-mcp-server
exa-mcp-hosted
brave-search-mcp
serpapi-mcp
firecrawl-mcp-hosted
dealroom-mcp</t>
        </is>
      </c>
      <c r="J131" s="15" t="inlineStr">
        <is>
          <t>prepare-team-review-pack</t>
        </is>
      </c>
      <c r="K131" s="15" t="inlineStr">
        <is>
          <t>project_instance</t>
        </is>
      </c>
    </row>
    <row r="132" ht="120" customHeight="1" s="12">
      <c r="A132" s="15" t="inlineStr">
        <is>
          <t>Saurabh</t>
        </is>
      </c>
      <c r="B132" s="15" t="inlineStr">
        <is>
          <t>Deal Pipeline</t>
        </is>
      </c>
      <c r="C132" s="15" t="inlineStr">
        <is>
          <t>Decision Review</t>
        </is>
      </c>
      <c r="D132" s="16">
        <f>HYPERLINK('Link Config'!$B$2&amp;"plugins/vc/tasks/prepare-team-review-pack.md","Prepare Team Review Pack")</f>
        <v/>
      </c>
      <c r="E132" s="15" t="inlineStr">
        <is>
          <t>Prepare Team Review Pack for one venture-capital opportunity with evidence capture, human review gates, and next-action recommendations.</t>
        </is>
      </c>
      <c r="F132" s="16">
        <f>HYPERLINK('Link Config'!$B$2&amp;"plugins/vc/agents/vc-diligence-analyst.md","Diligence Analyst")</f>
        <v/>
      </c>
      <c r="G132" s="15" t="inlineStr"/>
      <c r="H132" s="16">
        <f>HYPERLINK('Link Config'!$B$2&amp;"plugins/vc/alludium/documents/shared/template-use-guidance.md","Template Use Guidance (operating_guidance)")</f>
        <v/>
      </c>
      <c r="I132" s="15" t="inlineStr">
        <is>
          <t>alludium-platform
harmonic-mcp-oauth
affinity-mcp-server
exa-mcp-hosted
brave-search-mcp
serpapi-mcp
firecrawl-mcp-hosted
dealroom-mcp</t>
        </is>
      </c>
      <c r="J132" s="15" t="inlineStr">
        <is>
          <t>prepare-team-review-pack</t>
        </is>
      </c>
      <c r="K132" s="15" t="inlineStr">
        <is>
          <t>project_instance</t>
        </is>
      </c>
    </row>
    <row r="133" ht="120" customHeight="1" s="12">
      <c r="A133" s="15" t="inlineStr">
        <is>
          <t>Saurabh</t>
        </is>
      </c>
      <c r="B133" s="15" t="inlineStr">
        <is>
          <t>Deal Pipeline</t>
        </is>
      </c>
      <c r="C133" s="15" t="inlineStr">
        <is>
          <t>Decision Review</t>
        </is>
      </c>
      <c r="D133" s="16">
        <f>HYPERLINK('Link Config'!$B$2&amp;"plugins/vc/tasks/prepare-partner-review-pack.md","Prepare Partner Review Pack")</f>
        <v/>
      </c>
      <c r="E133" s="15" t="inlineStr">
        <is>
          <t>Prepare Partner Review Pack for one venture-capital opportunity with evidence capture, human review gates, and next-action recommendations.</t>
        </is>
      </c>
      <c r="F133" s="16">
        <f>HYPERLINK('Link Config'!$B$2&amp;"plugins/vc/agents/vc-diligence-analyst.md","Diligence Analyst")</f>
        <v/>
      </c>
      <c r="G133" s="16">
        <f>HYPERLINK('Link Config'!$B$2&amp;"plugins/vc/skills/ic-memo-assembly/SKILL.md","IC Memo Assembly")</f>
        <v/>
      </c>
      <c r="H133" s="16">
        <f>HYPERLINK('Link Config'!$B$2&amp;"plugins/vc/alludium/documents/deal-room/review-pack-checklist.md","Review Pack Checklist (output_template, to partner_review_pack_artifact_id)")</f>
        <v/>
      </c>
      <c r="I133" s="15" t="inlineStr">
        <is>
          <t>alludium-platform
harmonic-mcp-oauth
affinity-mcp-server
exa-mcp-hosted
brave-search-mcp
serpapi-mcp
firecrawl-mcp-hosted
dealroom-mcp</t>
        </is>
      </c>
      <c r="J133" s="15" t="inlineStr">
        <is>
          <t>prepare-partner-review-pack</t>
        </is>
      </c>
      <c r="K133" s="15" t="inlineStr">
        <is>
          <t>project_instance</t>
        </is>
      </c>
    </row>
    <row r="134" ht="120" customHeight="1" s="12">
      <c r="A134" s="15" t="inlineStr">
        <is>
          <t>Saurabh</t>
        </is>
      </c>
      <c r="B134" s="15" t="inlineStr">
        <is>
          <t>Deal Pipeline</t>
        </is>
      </c>
      <c r="C134" s="15" t="inlineStr">
        <is>
          <t>Decision Review</t>
        </is>
      </c>
      <c r="D134" s="16">
        <f>HYPERLINK('Link Config'!$B$2&amp;"plugins/vc/tasks/prepare-partner-review-pack.md","Prepare Partner Review Pack")</f>
        <v/>
      </c>
      <c r="E134" s="15" t="inlineStr">
        <is>
          <t>Prepare Partner Review Pack for one venture-capital opportunity with evidence capture, human review gates, and next-action recommendations.</t>
        </is>
      </c>
      <c r="F134" s="16">
        <f>HYPERLINK('Link Config'!$B$2&amp;"plugins/vc/agents/vc-diligence-analyst.md","Diligence Analyst")</f>
        <v/>
      </c>
      <c r="G134" s="16">
        <f>HYPERLINK('Link Config'!$B$2&amp;"plugins/vc/skills/citation-enforcement/SKILL.md","Citation Enforcement")</f>
        <v/>
      </c>
      <c r="H134" s="16">
        <f>HYPERLINK('Link Config'!$B$2&amp;"plugins/vc/alludium/documents/shared/opportunity-evaluation-framework.md","Opportunity Evaluation Framework (methodology)")</f>
        <v/>
      </c>
      <c r="I134" s="15" t="inlineStr">
        <is>
          <t>alludium-platform
harmonic-mcp-oauth
affinity-mcp-server
exa-mcp-hosted
brave-search-mcp
serpapi-mcp
firecrawl-mcp-hosted
dealroom-mcp</t>
        </is>
      </c>
      <c r="J134" s="15" t="inlineStr">
        <is>
          <t>prepare-partner-review-pack</t>
        </is>
      </c>
      <c r="K134" s="15" t="inlineStr">
        <is>
          <t>project_instance</t>
        </is>
      </c>
    </row>
    <row r="135" ht="120" customHeight="1" s="12">
      <c r="A135" s="15" t="inlineStr">
        <is>
          <t>Saurabh</t>
        </is>
      </c>
      <c r="B135" s="15" t="inlineStr">
        <is>
          <t>Deal Pipeline</t>
        </is>
      </c>
      <c r="C135" s="15" t="inlineStr">
        <is>
          <t>Decision Review</t>
        </is>
      </c>
      <c r="D135" s="16">
        <f>HYPERLINK('Link Config'!$B$2&amp;"plugins/vc/tasks/prepare-partner-review-pack.md","Prepare Partner Review Pack")</f>
        <v/>
      </c>
      <c r="E135" s="15" t="inlineStr">
        <is>
          <t>Prepare Partner Review Pack for one venture-capital opportunity with evidence capture, human review gates, and next-action recommendations.</t>
        </is>
      </c>
      <c r="F135" s="16">
        <f>HYPERLINK('Link Config'!$B$2&amp;"plugins/vc/agents/vc-diligence-analyst.md","Diligence Analyst")</f>
        <v/>
      </c>
      <c r="G135" s="15" t="inlineStr"/>
      <c r="H135" s="16">
        <f>HYPERLINK('Link Config'!$B$2&amp;"plugins/vc/alludium/documents/shared/evaluation-workstream-guide.md","Evaluation Workstream Guide (methodology)")</f>
        <v/>
      </c>
      <c r="I135" s="15" t="inlineStr">
        <is>
          <t>alludium-platform
harmonic-mcp-oauth
affinity-mcp-server
exa-mcp-hosted
brave-search-mcp
serpapi-mcp
firecrawl-mcp-hosted
dealroom-mcp</t>
        </is>
      </c>
      <c r="J135" s="15" t="inlineStr">
        <is>
          <t>prepare-partner-review-pack</t>
        </is>
      </c>
      <c r="K135" s="15" t="inlineStr">
        <is>
          <t>project_instance</t>
        </is>
      </c>
    </row>
    <row r="136" ht="120" customHeight="1" s="12">
      <c r="A136" s="15" t="inlineStr">
        <is>
          <t>Saurabh</t>
        </is>
      </c>
      <c r="B136" s="15" t="inlineStr">
        <is>
          <t>Deal Pipeline</t>
        </is>
      </c>
      <c r="C136" s="15" t="inlineStr">
        <is>
          <t>Decision Review</t>
        </is>
      </c>
      <c r="D136" s="16">
        <f>HYPERLINK('Link Config'!$B$2&amp;"plugins/vc/tasks/prepare-partner-review-pack.md","Prepare Partner Review Pack")</f>
        <v/>
      </c>
      <c r="E136" s="15" t="inlineStr">
        <is>
          <t>Prepare Partner Review Pack for one venture-capital opportunity with evidence capture, human review gates, and next-action recommendations.</t>
        </is>
      </c>
      <c r="F136" s="16">
        <f>HYPERLINK('Link Config'!$B$2&amp;"plugins/vc/agents/vc-diligence-analyst.md","Diligence Analyst")</f>
        <v/>
      </c>
      <c r="G136" s="15" t="inlineStr"/>
      <c r="H136" s="16">
        <f>HYPERLINK('Link Config'!$B$2&amp;"plugins/vc/alludium/documents/deal-room/formal-diligence-workstream-guide.md","Formal Diligence Workstream Guide (methodology)")</f>
        <v/>
      </c>
      <c r="I136" s="15" t="inlineStr">
        <is>
          <t>alludium-platform
harmonic-mcp-oauth
affinity-mcp-server
exa-mcp-hosted
brave-search-mcp
serpapi-mcp
firecrawl-mcp-hosted
dealroom-mcp</t>
        </is>
      </c>
      <c r="J136" s="15" t="inlineStr">
        <is>
          <t>prepare-partner-review-pack</t>
        </is>
      </c>
      <c r="K136" s="15" t="inlineStr">
        <is>
          <t>project_instance</t>
        </is>
      </c>
    </row>
    <row r="137" ht="120" customHeight="1" s="12">
      <c r="A137" s="15" t="inlineStr">
        <is>
          <t>Saurabh</t>
        </is>
      </c>
      <c r="B137" s="15" t="inlineStr">
        <is>
          <t>Deal Pipeline</t>
        </is>
      </c>
      <c r="C137" s="15" t="inlineStr">
        <is>
          <t>Decision Review</t>
        </is>
      </c>
      <c r="D137" s="16">
        <f>HYPERLINK('Link Config'!$B$2&amp;"plugins/vc/tasks/prepare-partner-review-pack.md","Prepare Partner Review Pack")</f>
        <v/>
      </c>
      <c r="E137" s="15" t="inlineStr">
        <is>
          <t>Prepare Partner Review Pack for one venture-capital opportunity with evidence capture, human review gates, and next-action recommendations.</t>
        </is>
      </c>
      <c r="F137" s="16">
        <f>HYPERLINK('Link Config'!$B$2&amp;"plugins/vc/agents/vc-diligence-analyst.md","Diligence Analyst")</f>
        <v/>
      </c>
      <c r="G137" s="15" t="inlineStr"/>
      <c r="H137" s="16">
        <f>HYPERLINK('Link Config'!$B$2&amp;"plugins/vc/alludium/documents/deal-room/formal-diligence-checklist.md","Formal Diligence Checklist (checklist)")</f>
        <v/>
      </c>
      <c r="I137" s="15" t="inlineStr">
        <is>
          <t>alludium-platform
harmonic-mcp-oauth
affinity-mcp-server
exa-mcp-hosted
brave-search-mcp
serpapi-mcp
firecrawl-mcp-hosted
dealroom-mcp</t>
        </is>
      </c>
      <c r="J137" s="15" t="inlineStr">
        <is>
          <t>prepare-partner-review-pack</t>
        </is>
      </c>
      <c r="K137" s="15" t="inlineStr">
        <is>
          <t>project_instance</t>
        </is>
      </c>
    </row>
    <row r="138" ht="120" customHeight="1" s="12">
      <c r="A138" s="15" t="inlineStr">
        <is>
          <t>Saurabh</t>
        </is>
      </c>
      <c r="B138" s="15" t="inlineStr">
        <is>
          <t>Deal Pipeline</t>
        </is>
      </c>
      <c r="C138" s="15" t="inlineStr">
        <is>
          <t>Decision Review</t>
        </is>
      </c>
      <c r="D138" s="16">
        <f>HYPERLINK('Link Config'!$B$2&amp;"plugins/vc/tasks/prepare-partner-review-pack.md","Prepare Partner Review Pack")</f>
        <v/>
      </c>
      <c r="E138" s="15" t="inlineStr">
        <is>
          <t>Prepare Partner Review Pack for one venture-capital opportunity with evidence capture, human review gates, and next-action recommendations.</t>
        </is>
      </c>
      <c r="F138" s="16">
        <f>HYPERLINK('Link Config'!$B$2&amp;"plugins/vc/agents/vc-diligence-analyst.md","Diligence Analyst")</f>
        <v/>
      </c>
      <c r="G138" s="15" t="inlineStr"/>
      <c r="H138" s="16">
        <f>HYPERLINK('Link Config'!$B$2&amp;"plugins/vc/alludium/documents/shared/evidence-citation-style-guide.md","Evidence And Citation Style Guide (style_guide)")</f>
        <v/>
      </c>
      <c r="I138" s="15" t="inlineStr">
        <is>
          <t>alludium-platform
harmonic-mcp-oauth
affinity-mcp-server
exa-mcp-hosted
brave-search-mcp
serpapi-mcp
firecrawl-mcp-hosted
dealroom-mcp</t>
        </is>
      </c>
      <c r="J138" s="15" t="inlineStr">
        <is>
          <t>prepare-partner-review-pack</t>
        </is>
      </c>
      <c r="K138" s="15" t="inlineStr">
        <is>
          <t>project_instance</t>
        </is>
      </c>
    </row>
    <row r="139" ht="120" customHeight="1" s="12">
      <c r="A139" s="15" t="inlineStr">
        <is>
          <t>Saurabh</t>
        </is>
      </c>
      <c r="B139" s="15" t="inlineStr">
        <is>
          <t>Deal Pipeline</t>
        </is>
      </c>
      <c r="C139" s="15" t="inlineStr">
        <is>
          <t>Decision Review</t>
        </is>
      </c>
      <c r="D139" s="16">
        <f>HYPERLINK('Link Config'!$B$2&amp;"plugins/vc/tasks/prepare-partner-review-pack.md","Prepare Partner Review Pack")</f>
        <v/>
      </c>
      <c r="E139" s="15" t="inlineStr">
        <is>
          <t>Prepare Partner Review Pack for one venture-capital opportunity with evidence capture, human review gates, and next-action recommendations.</t>
        </is>
      </c>
      <c r="F139" s="16">
        <f>HYPERLINK('Link Config'!$B$2&amp;"plugins/vc/agents/vc-diligence-analyst.md","Diligence Analyst")</f>
        <v/>
      </c>
      <c r="G139" s="15" t="inlineStr"/>
      <c r="H139" s="16">
        <f>HYPERLINK('Link Config'!$B$2&amp;"plugins/vc/alludium/documents/shared/template-use-guidance.md","Template Use Guidance (operating_guidance)")</f>
        <v/>
      </c>
      <c r="I139" s="15" t="inlineStr">
        <is>
          <t>alludium-platform
harmonic-mcp-oauth
affinity-mcp-server
exa-mcp-hosted
brave-search-mcp
serpapi-mcp
firecrawl-mcp-hosted
dealroom-mcp</t>
        </is>
      </c>
      <c r="J139" s="15" t="inlineStr">
        <is>
          <t>prepare-partner-review-pack</t>
        </is>
      </c>
      <c r="K139" s="15" t="inlineStr">
        <is>
          <t>project_instance</t>
        </is>
      </c>
    </row>
    <row r="140" ht="90" customHeight="1" s="12">
      <c r="A140" s="15" t="inlineStr">
        <is>
          <t>Alex</t>
        </is>
      </c>
      <c r="B140" s="15" t="inlineStr">
        <is>
          <t>Deal Pipeline</t>
        </is>
      </c>
      <c r="C140" s="15" t="inlineStr">
        <is>
          <t>Decision Review</t>
        </is>
      </c>
      <c r="D140" s="16">
        <f>HYPERLINK('Link Config'!$B$2&amp;"plugins/vc/tasks/create-ic-memo.md","Create IC Memo")</f>
        <v/>
      </c>
      <c r="E140" s="15" t="inlineStr">
        <is>
          <t>Create IC Memo for one venture-capital opportunity with evidence capture, human review gates, and next-action recommendations.</t>
        </is>
      </c>
      <c r="F140" s="16">
        <f>HYPERLINK('Link Config'!$B$2&amp;"plugins/vc/agents/vc-ic-prep-producer.md","IC Prep Producer")</f>
        <v/>
      </c>
      <c r="G140" s="16">
        <f>HYPERLINK('Link Config'!$B$2&amp;"plugins/vc/skills/ic-memo-assembly/SKILL.md","IC Memo Assembly")</f>
        <v/>
      </c>
      <c r="H140" s="16">
        <f>HYPERLINK('Link Config'!$B$2&amp;"plugins/vc/alludium/documents/deal-room/investment-memo-template.md","Investment Memo Template (output_template, to investment_memo_artifact_id)")</f>
        <v/>
      </c>
      <c r="I140" s="15" t="inlineStr">
        <is>
          <t>alludium-platform
exa-mcp-hosted
brave-search-mcp
serpapi-mcp
dealroom-mcp
google_drive</t>
        </is>
      </c>
      <c r="J140" s="15" t="inlineStr">
        <is>
          <t>create-ic-memo</t>
        </is>
      </c>
      <c r="K140" s="15" t="inlineStr">
        <is>
          <t>project_instance</t>
        </is>
      </c>
    </row>
    <row r="141" ht="90" customHeight="1" s="12">
      <c r="A141" s="15" t="inlineStr">
        <is>
          <t>Alex</t>
        </is>
      </c>
      <c r="B141" s="15" t="inlineStr">
        <is>
          <t>Deal Pipeline</t>
        </is>
      </c>
      <c r="C141" s="15" t="inlineStr">
        <is>
          <t>Decision Review</t>
        </is>
      </c>
      <c r="D141" s="16">
        <f>HYPERLINK('Link Config'!$B$2&amp;"plugins/vc/tasks/create-ic-memo.md","Create IC Memo")</f>
        <v/>
      </c>
      <c r="E141" s="15" t="inlineStr">
        <is>
          <t>Create IC Memo for one venture-capital opportunity with evidence capture, human review gates, and next-action recommendations.</t>
        </is>
      </c>
      <c r="F141" s="16">
        <f>HYPERLINK('Link Config'!$B$2&amp;"plugins/vc/agents/vc-ic-prep-producer.md","IC Prep Producer")</f>
        <v/>
      </c>
      <c r="G141" s="16">
        <f>HYPERLINK('Link Config'!$B$2&amp;"plugins/vc/skills/citation-enforcement/SKILL.md","Citation Enforcement")</f>
        <v/>
      </c>
      <c r="H141" s="16">
        <f>HYPERLINK('Link Config'!$B$2&amp;"plugins/vc/alludium/documents/shared/opportunity-evaluation-framework.md","Opportunity Evaluation Framework (methodology)")</f>
        <v/>
      </c>
      <c r="I141" s="15" t="inlineStr">
        <is>
          <t>alludium-platform
exa-mcp-hosted
brave-search-mcp
serpapi-mcp
dealroom-mcp
google_drive</t>
        </is>
      </c>
      <c r="J141" s="15" t="inlineStr">
        <is>
          <t>create-ic-memo</t>
        </is>
      </c>
      <c r="K141" s="15" t="inlineStr">
        <is>
          <t>project_instance</t>
        </is>
      </c>
    </row>
    <row r="142" ht="90" customHeight="1" s="12">
      <c r="A142" s="15" t="inlineStr">
        <is>
          <t>Alex</t>
        </is>
      </c>
      <c r="B142" s="15" t="inlineStr">
        <is>
          <t>Deal Pipeline</t>
        </is>
      </c>
      <c r="C142" s="15" t="inlineStr">
        <is>
          <t>Decision Review</t>
        </is>
      </c>
      <c r="D142" s="16">
        <f>HYPERLINK('Link Config'!$B$2&amp;"plugins/vc/tasks/create-ic-memo.md","Create IC Memo")</f>
        <v/>
      </c>
      <c r="E142" s="15" t="inlineStr">
        <is>
          <t>Create IC Memo for one venture-capital opportunity with evidence capture, human review gates, and next-action recommendations.</t>
        </is>
      </c>
      <c r="F142" s="16">
        <f>HYPERLINK('Link Config'!$B$2&amp;"plugins/vc/agents/vc-ic-prep-producer.md","IC Prep Producer")</f>
        <v/>
      </c>
      <c r="G142" s="16">
        <f>HYPERLINK('Link Config'!$B$2&amp;"plugins/vc/skills/ic-risk-checklist-and-decision-log/SKILL.md","IC Risk Checklist &amp; Decision Log")</f>
        <v/>
      </c>
      <c r="H142" s="16">
        <f>HYPERLINK('Link Config'!$B$2&amp;"plugins/vc/alludium/documents/shared/evaluation-workstream-guide.md","Evaluation Workstream Guide (methodology)")</f>
        <v/>
      </c>
      <c r="I142" s="15" t="inlineStr">
        <is>
          <t>alludium-platform
exa-mcp-hosted
brave-search-mcp
serpapi-mcp
dealroom-mcp
google_drive</t>
        </is>
      </c>
      <c r="J142" s="15" t="inlineStr">
        <is>
          <t>create-ic-memo</t>
        </is>
      </c>
      <c r="K142" s="15" t="inlineStr">
        <is>
          <t>project_instance</t>
        </is>
      </c>
    </row>
    <row r="143" ht="90" customHeight="1" s="12">
      <c r="A143" s="15" t="inlineStr">
        <is>
          <t>Alex</t>
        </is>
      </c>
      <c r="B143" s="15" t="inlineStr">
        <is>
          <t>Deal Pipeline</t>
        </is>
      </c>
      <c r="C143" s="15" t="inlineStr">
        <is>
          <t>Decision Review</t>
        </is>
      </c>
      <c r="D143" s="16">
        <f>HYPERLINK('Link Config'!$B$2&amp;"plugins/vc/tasks/create-ic-memo.md","Create IC Memo")</f>
        <v/>
      </c>
      <c r="E143" s="15" t="inlineStr">
        <is>
          <t>Create IC Memo for one venture-capital opportunity with evidence capture, human review gates, and next-action recommendations.</t>
        </is>
      </c>
      <c r="F143" s="16">
        <f>HYPERLINK('Link Config'!$B$2&amp;"plugins/vc/agents/vc-ic-prep-producer.md","IC Prep Producer")</f>
        <v/>
      </c>
      <c r="G143" s="15" t="inlineStr"/>
      <c r="H143" s="16">
        <f>HYPERLINK('Link Config'!$B$2&amp;"plugins/vc/alludium/documents/deal-room/formal-diligence-workstream-guide.md","Formal Diligence Workstream Guide (methodology)")</f>
        <v/>
      </c>
      <c r="I143" s="15" t="inlineStr">
        <is>
          <t>alludium-platform
exa-mcp-hosted
brave-search-mcp
serpapi-mcp
dealroom-mcp
google_drive</t>
        </is>
      </c>
      <c r="J143" s="15" t="inlineStr">
        <is>
          <t>create-ic-memo</t>
        </is>
      </c>
      <c r="K143" s="15" t="inlineStr">
        <is>
          <t>project_instance</t>
        </is>
      </c>
    </row>
    <row r="144" ht="90" customHeight="1" s="12">
      <c r="A144" s="15" t="inlineStr">
        <is>
          <t>Alex</t>
        </is>
      </c>
      <c r="B144" s="15" t="inlineStr">
        <is>
          <t>Deal Pipeline</t>
        </is>
      </c>
      <c r="C144" s="15" t="inlineStr">
        <is>
          <t>Decision Review</t>
        </is>
      </c>
      <c r="D144" s="16">
        <f>HYPERLINK('Link Config'!$B$2&amp;"plugins/vc/tasks/create-ic-memo.md","Create IC Memo")</f>
        <v/>
      </c>
      <c r="E144" s="15" t="inlineStr">
        <is>
          <t>Create IC Memo for one venture-capital opportunity with evidence capture, human review gates, and next-action recommendations.</t>
        </is>
      </c>
      <c r="F144" s="16">
        <f>HYPERLINK('Link Config'!$B$2&amp;"plugins/vc/agents/vc-ic-prep-producer.md","IC Prep Producer")</f>
        <v/>
      </c>
      <c r="G144" s="15" t="inlineStr"/>
      <c r="H144" s="16">
        <f>HYPERLINK('Link Config'!$B$2&amp;"plugins/vc/alludium/documents/deal-room/formal-diligence-checklist.md","Formal Diligence Checklist (checklist)")</f>
        <v/>
      </c>
      <c r="I144" s="15" t="inlineStr">
        <is>
          <t>alludium-platform
exa-mcp-hosted
brave-search-mcp
serpapi-mcp
dealroom-mcp
google_drive</t>
        </is>
      </c>
      <c r="J144" s="15" t="inlineStr">
        <is>
          <t>create-ic-memo</t>
        </is>
      </c>
      <c r="K144" s="15" t="inlineStr">
        <is>
          <t>project_instance</t>
        </is>
      </c>
    </row>
    <row r="145" ht="90" customHeight="1" s="12">
      <c r="A145" s="15" t="inlineStr">
        <is>
          <t>Alex</t>
        </is>
      </c>
      <c r="B145" s="15" t="inlineStr">
        <is>
          <t>Deal Pipeline</t>
        </is>
      </c>
      <c r="C145" s="15" t="inlineStr">
        <is>
          <t>Decision Review</t>
        </is>
      </c>
      <c r="D145" s="16">
        <f>HYPERLINK('Link Config'!$B$2&amp;"plugins/vc/tasks/create-ic-memo.md","Create IC Memo")</f>
        <v/>
      </c>
      <c r="E145" s="15" t="inlineStr">
        <is>
          <t>Create IC Memo for one venture-capital opportunity with evidence capture, human review gates, and next-action recommendations.</t>
        </is>
      </c>
      <c r="F145" s="16">
        <f>HYPERLINK('Link Config'!$B$2&amp;"plugins/vc/agents/vc-ic-prep-producer.md","IC Prep Producer")</f>
        <v/>
      </c>
      <c r="G145" s="15" t="inlineStr"/>
      <c r="H145" s="16">
        <f>HYPERLINK('Link Config'!$B$2&amp;"plugins/vc/alludium/documents/shared/evidence-citation-style-guide.md","Evidence And Citation Style Guide (style_guide)")</f>
        <v/>
      </c>
      <c r="I145" s="15" t="inlineStr">
        <is>
          <t>alludium-platform
exa-mcp-hosted
brave-search-mcp
serpapi-mcp
dealroom-mcp
google_drive</t>
        </is>
      </c>
      <c r="J145" s="15" t="inlineStr">
        <is>
          <t>create-ic-memo</t>
        </is>
      </c>
      <c r="K145" s="15" t="inlineStr">
        <is>
          <t>project_instance</t>
        </is>
      </c>
    </row>
    <row r="146" ht="90" customHeight="1" s="12">
      <c r="A146" s="15" t="inlineStr">
        <is>
          <t>Alex</t>
        </is>
      </c>
      <c r="B146" s="15" t="inlineStr">
        <is>
          <t>Deal Pipeline</t>
        </is>
      </c>
      <c r="C146" s="15" t="inlineStr">
        <is>
          <t>Decision Review</t>
        </is>
      </c>
      <c r="D146" s="16">
        <f>HYPERLINK('Link Config'!$B$2&amp;"plugins/vc/tasks/create-ic-memo.md","Create IC Memo")</f>
        <v/>
      </c>
      <c r="E146" s="15" t="inlineStr">
        <is>
          <t>Create IC Memo for one venture-capital opportunity with evidence capture, human review gates, and next-action recommendations.</t>
        </is>
      </c>
      <c r="F146" s="16">
        <f>HYPERLINK('Link Config'!$B$2&amp;"plugins/vc/agents/vc-ic-prep-producer.md","IC Prep Producer")</f>
        <v/>
      </c>
      <c r="G146" s="15" t="inlineStr"/>
      <c r="H146" s="16">
        <f>HYPERLINK('Link Config'!$B$2&amp;"plugins/vc/alludium/documents/shared/template-use-guidance.md","Template Use Guidance (operating_guidance)")</f>
        <v/>
      </c>
      <c r="I146" s="15" t="inlineStr">
        <is>
          <t>alludium-platform
exa-mcp-hosted
brave-search-mcp
serpapi-mcp
dealroom-mcp
google_drive</t>
        </is>
      </c>
      <c r="J146" s="15" t="inlineStr">
        <is>
          <t>create-ic-memo</t>
        </is>
      </c>
      <c r="K146" s="15" t="inlineStr">
        <is>
          <t>project_instance</t>
        </is>
      </c>
    </row>
    <row r="147" ht="90" customHeight="1" s="12">
      <c r="A147" s="15" t="inlineStr">
        <is>
          <t>Saurabh</t>
        </is>
      </c>
      <c r="B147" s="15" t="inlineStr">
        <is>
          <t>Deal Pipeline</t>
        </is>
      </c>
      <c r="C147" s="15" t="inlineStr">
        <is>
          <t>Decision Review</t>
        </is>
      </c>
      <c r="D147" s="16">
        <f>HYPERLINK('Link Config'!$B$2&amp;"plugins/vc/tasks/prepare-ic-agenda.md","Prepare IC Agenda")</f>
        <v/>
      </c>
      <c r="E147" s="15" t="inlineStr">
        <is>
          <t>Prepare IC Agenda for one venture-capital opportunity with evidence capture, human review gates, and next-action recommendations.</t>
        </is>
      </c>
      <c r="F147" s="16">
        <f>HYPERLINK('Link Config'!$B$2&amp;"plugins/vc/agents/vc-ic-prep-producer.md","IC Prep Producer")</f>
        <v/>
      </c>
      <c r="G147" s="16">
        <f>HYPERLINK('Link Config'!$B$2&amp;"plugins/vc/skills/meeting-prep-and-summary/SKILL.md","Meeting Prep &amp; Summary")</f>
        <v/>
      </c>
      <c r="H147" s="16">
        <f>HYPERLINK('Link Config'!$B$2&amp;"plugins/vc/alludium/documents/deal-room/ic-agenda-template.md","IC Agenda Template (output_template, to ic_agenda_artifact_id)")</f>
        <v/>
      </c>
      <c r="I147" s="15" t="inlineStr">
        <is>
          <t>alludium-platform
exa-mcp-hosted
brave-search-mcp
serpapi-mcp
dealroom-mcp
google_drive</t>
        </is>
      </c>
      <c r="J147" s="15" t="inlineStr">
        <is>
          <t>prepare-ic-agenda</t>
        </is>
      </c>
      <c r="K147" s="15" t="inlineStr">
        <is>
          <t>project_instance</t>
        </is>
      </c>
    </row>
    <row r="148" ht="90" customHeight="1" s="12">
      <c r="A148" s="15" t="inlineStr">
        <is>
          <t>Saurabh</t>
        </is>
      </c>
      <c r="B148" s="15" t="inlineStr">
        <is>
          <t>Deal Pipeline</t>
        </is>
      </c>
      <c r="C148" s="15" t="inlineStr">
        <is>
          <t>Decision Review</t>
        </is>
      </c>
      <c r="D148" s="16">
        <f>HYPERLINK('Link Config'!$B$2&amp;"plugins/vc/tasks/prepare-ic-agenda.md","Prepare IC Agenda")</f>
        <v/>
      </c>
      <c r="E148" s="15" t="inlineStr">
        <is>
          <t>Prepare IC Agenda for one venture-capital opportunity with evidence capture, human review gates, and next-action recommendations.</t>
        </is>
      </c>
      <c r="F148" s="16">
        <f>HYPERLINK('Link Config'!$B$2&amp;"plugins/vc/agents/vc-ic-prep-producer.md","IC Prep Producer")</f>
        <v/>
      </c>
      <c r="G148" s="16">
        <f>HYPERLINK('Link Config'!$B$2&amp;"plugins/vc/skills/citation-enforcement/SKILL.md","Citation Enforcement")</f>
        <v/>
      </c>
      <c r="H148" s="16">
        <f>HYPERLINK('Link Config'!$B$2&amp;"plugins/vc/alludium/documents/shared/template-use-guidance.md","Template Use Guidance (operating_guidance)")</f>
        <v/>
      </c>
      <c r="I148" s="15" t="inlineStr">
        <is>
          <t>alludium-platform
exa-mcp-hosted
brave-search-mcp
serpapi-mcp
dealroom-mcp
google_drive</t>
        </is>
      </c>
      <c r="J148" s="15" t="inlineStr">
        <is>
          <t>prepare-ic-agenda</t>
        </is>
      </c>
      <c r="K148" s="15" t="inlineStr">
        <is>
          <t>project_instance</t>
        </is>
      </c>
    </row>
    <row r="149" ht="90" customHeight="1" s="12">
      <c r="A149" s="15" t="inlineStr">
        <is>
          <t>Saurabh</t>
        </is>
      </c>
      <c r="B149" s="15" t="inlineStr">
        <is>
          <t>Deal Pipeline</t>
        </is>
      </c>
      <c r="C149" s="15" t="inlineStr">
        <is>
          <t>Decision Review</t>
        </is>
      </c>
      <c r="D149" s="16">
        <f>HYPERLINK('Link Config'!$B$2&amp;"plugins/vc/tasks/prepare-ic-agenda.md","Prepare IC Agenda")</f>
        <v/>
      </c>
      <c r="E149" s="15" t="inlineStr">
        <is>
          <t>Prepare IC Agenda for one venture-capital opportunity with evidence capture, human review gates, and next-action recommendations.</t>
        </is>
      </c>
      <c r="F149" s="16">
        <f>HYPERLINK('Link Config'!$B$2&amp;"plugins/vc/agents/vc-ic-prep-producer.md","IC Prep Producer")</f>
        <v/>
      </c>
      <c r="G149" s="16">
        <f>HYPERLINK('Link Config'!$B$2&amp;"plugins/vc/skills/ic-risk-checklist-and-decision-log/SKILL.md","IC Risk Checklist &amp; Decision Log")</f>
        <v/>
      </c>
      <c r="H149" s="15" t="inlineStr"/>
      <c r="I149" s="15" t="inlineStr">
        <is>
          <t>alludium-platform
exa-mcp-hosted
brave-search-mcp
serpapi-mcp
dealroom-mcp
google_drive</t>
        </is>
      </c>
      <c r="J149" s="15" t="inlineStr">
        <is>
          <t>prepare-ic-agenda</t>
        </is>
      </c>
      <c r="K149" s="15" t="inlineStr">
        <is>
          <t>project_instance</t>
        </is>
      </c>
    </row>
    <row r="150" ht="90" customHeight="1" s="12">
      <c r="A150" s="15" t="inlineStr">
        <is>
          <t>George</t>
        </is>
      </c>
      <c r="B150" s="15" t="inlineStr">
        <is>
          <t>Deal Pipeline</t>
        </is>
      </c>
      <c r="C150" s="15" t="inlineStr">
        <is>
          <t>Decision Review</t>
        </is>
      </c>
      <c r="D150" s="16">
        <f>HYPERLINK('Link Config'!$B$2&amp;"plugins/vc/tasks/review-ic-memo.md","Review IC Memo")</f>
        <v/>
      </c>
      <c r="E150" s="15" t="inlineStr">
        <is>
          <t>Review IC Memo for one venture-capital opportunity with evidence capture, human review gates, and next-action recommendations.</t>
        </is>
      </c>
      <c r="F150" s="16">
        <f>HYPERLINK('Link Config'!$B$2&amp;"plugins/vc/agents/vc-ic-prep-producer.md","IC Prep Producer")</f>
        <v/>
      </c>
      <c r="G150" s="16">
        <f>HYPERLINK('Link Config'!$B$2&amp;"plugins/vc/skills/citation-enforcement/SKILL.md","Citation Enforcement")</f>
        <v/>
      </c>
      <c r="H150" s="16">
        <f>HYPERLINK('Link Config'!$B$2&amp;"plugins/vc/alludium/documents/deal-room/ic-memo-review-template.md","IC Memo Review Template (output_template, to ic_memo_review_artifact_id)")</f>
        <v/>
      </c>
      <c r="I150" s="15" t="inlineStr">
        <is>
          <t>alludium-platform
exa-mcp-hosted
brave-search-mcp
serpapi-mcp
dealroom-mcp
google_drive</t>
        </is>
      </c>
      <c r="J150" s="15" t="inlineStr">
        <is>
          <t>review-ic-memo</t>
        </is>
      </c>
      <c r="K150" s="15" t="inlineStr">
        <is>
          <t>project_instance</t>
        </is>
      </c>
    </row>
    <row r="151" ht="90" customHeight="1" s="12">
      <c r="A151" s="15" t="inlineStr">
        <is>
          <t>George</t>
        </is>
      </c>
      <c r="B151" s="15" t="inlineStr">
        <is>
          <t>Deal Pipeline</t>
        </is>
      </c>
      <c r="C151" s="15" t="inlineStr">
        <is>
          <t>Decision Review</t>
        </is>
      </c>
      <c r="D151" s="16">
        <f>HYPERLINK('Link Config'!$B$2&amp;"plugins/vc/tasks/review-ic-memo.md","Review IC Memo")</f>
        <v/>
      </c>
      <c r="E151" s="15" t="inlineStr">
        <is>
          <t>Review IC Memo for one venture-capital opportunity with evidence capture, human review gates, and next-action recommendations.</t>
        </is>
      </c>
      <c r="F151" s="16">
        <f>HYPERLINK('Link Config'!$B$2&amp;"plugins/vc/agents/vc-ic-prep-producer.md","IC Prep Producer")</f>
        <v/>
      </c>
      <c r="G151" s="16">
        <f>HYPERLINK('Link Config'!$B$2&amp;"plugins/vc/skills/ic-memo-assembly/SKILL.md","IC Memo Assembly")</f>
        <v/>
      </c>
      <c r="H151" s="16">
        <f>HYPERLINK('Link Config'!$B$2&amp;"plugins/vc/alludium/documents/shared/opportunity-evaluation-framework.md","Opportunity Evaluation Framework (methodology)")</f>
        <v/>
      </c>
      <c r="I151" s="15" t="inlineStr">
        <is>
          <t>alludium-platform
exa-mcp-hosted
brave-search-mcp
serpapi-mcp
dealroom-mcp
google_drive</t>
        </is>
      </c>
      <c r="J151" s="15" t="inlineStr">
        <is>
          <t>review-ic-memo</t>
        </is>
      </c>
      <c r="K151" s="15" t="inlineStr">
        <is>
          <t>project_instance</t>
        </is>
      </c>
    </row>
    <row r="152" ht="90" customHeight="1" s="12">
      <c r="A152" s="15" t="inlineStr">
        <is>
          <t>George</t>
        </is>
      </c>
      <c r="B152" s="15" t="inlineStr">
        <is>
          <t>Deal Pipeline</t>
        </is>
      </c>
      <c r="C152" s="15" t="inlineStr">
        <is>
          <t>Decision Review</t>
        </is>
      </c>
      <c r="D152" s="16">
        <f>HYPERLINK('Link Config'!$B$2&amp;"plugins/vc/tasks/review-ic-memo.md","Review IC Memo")</f>
        <v/>
      </c>
      <c r="E152" s="15" t="inlineStr">
        <is>
          <t>Review IC Memo for one venture-capital opportunity with evidence capture, human review gates, and next-action recommendations.</t>
        </is>
      </c>
      <c r="F152" s="16">
        <f>HYPERLINK('Link Config'!$B$2&amp;"plugins/vc/agents/vc-ic-prep-producer.md","IC Prep Producer")</f>
        <v/>
      </c>
      <c r="G152" s="16">
        <f>HYPERLINK('Link Config'!$B$2&amp;"plugins/vc/skills/ic-risk-checklist-and-decision-log/SKILL.md","IC Risk Checklist &amp; Decision Log")</f>
        <v/>
      </c>
      <c r="H152" s="16">
        <f>HYPERLINK('Link Config'!$B$2&amp;"plugins/vc/alludium/documents/shared/evaluation-workstream-guide.md","Evaluation Workstream Guide (methodology)")</f>
        <v/>
      </c>
      <c r="I152" s="15" t="inlineStr">
        <is>
          <t>alludium-platform
exa-mcp-hosted
brave-search-mcp
serpapi-mcp
dealroom-mcp
google_drive</t>
        </is>
      </c>
      <c r="J152" s="15" t="inlineStr">
        <is>
          <t>review-ic-memo</t>
        </is>
      </c>
      <c r="K152" s="15" t="inlineStr">
        <is>
          <t>project_instance</t>
        </is>
      </c>
    </row>
    <row r="153" ht="90" customHeight="1" s="12">
      <c r="A153" s="15" t="inlineStr">
        <is>
          <t>George</t>
        </is>
      </c>
      <c r="B153" s="15" t="inlineStr">
        <is>
          <t>Deal Pipeline</t>
        </is>
      </c>
      <c r="C153" s="15" t="inlineStr">
        <is>
          <t>Decision Review</t>
        </is>
      </c>
      <c r="D153" s="16">
        <f>HYPERLINK('Link Config'!$B$2&amp;"plugins/vc/tasks/review-ic-memo.md","Review IC Memo")</f>
        <v/>
      </c>
      <c r="E153" s="15" t="inlineStr">
        <is>
          <t>Review IC Memo for one venture-capital opportunity with evidence capture, human review gates, and next-action recommendations.</t>
        </is>
      </c>
      <c r="F153" s="16">
        <f>HYPERLINK('Link Config'!$B$2&amp;"plugins/vc/agents/vc-ic-prep-producer.md","IC Prep Producer")</f>
        <v/>
      </c>
      <c r="G153" s="15" t="inlineStr"/>
      <c r="H153" s="16">
        <f>HYPERLINK('Link Config'!$B$2&amp;"plugins/vc/alludium/documents/deal-room/formal-diligence-workstream-guide.md","Formal Diligence Workstream Guide (methodology)")</f>
        <v/>
      </c>
      <c r="I153" s="15" t="inlineStr">
        <is>
          <t>alludium-platform
exa-mcp-hosted
brave-search-mcp
serpapi-mcp
dealroom-mcp
google_drive</t>
        </is>
      </c>
      <c r="J153" s="15" t="inlineStr">
        <is>
          <t>review-ic-memo</t>
        </is>
      </c>
      <c r="K153" s="15" t="inlineStr">
        <is>
          <t>project_instance</t>
        </is>
      </c>
    </row>
    <row r="154" ht="90" customHeight="1" s="12">
      <c r="A154" s="15" t="inlineStr">
        <is>
          <t>George</t>
        </is>
      </c>
      <c r="B154" s="15" t="inlineStr">
        <is>
          <t>Deal Pipeline</t>
        </is>
      </c>
      <c r="C154" s="15" t="inlineStr">
        <is>
          <t>Decision Review</t>
        </is>
      </c>
      <c r="D154" s="16">
        <f>HYPERLINK('Link Config'!$B$2&amp;"plugins/vc/tasks/review-ic-memo.md","Review IC Memo")</f>
        <v/>
      </c>
      <c r="E154" s="15" t="inlineStr">
        <is>
          <t>Review IC Memo for one venture-capital opportunity with evidence capture, human review gates, and next-action recommendations.</t>
        </is>
      </c>
      <c r="F154" s="16">
        <f>HYPERLINK('Link Config'!$B$2&amp;"plugins/vc/agents/vc-ic-prep-producer.md","IC Prep Producer")</f>
        <v/>
      </c>
      <c r="G154" s="15" t="inlineStr"/>
      <c r="H154" s="16">
        <f>HYPERLINK('Link Config'!$B$2&amp;"plugins/vc/alludium/documents/deal-room/formal-diligence-checklist.md","Formal Diligence Checklist (checklist)")</f>
        <v/>
      </c>
      <c r="I154" s="15" t="inlineStr">
        <is>
          <t>alludium-platform
exa-mcp-hosted
brave-search-mcp
serpapi-mcp
dealroom-mcp
google_drive</t>
        </is>
      </c>
      <c r="J154" s="15" t="inlineStr">
        <is>
          <t>review-ic-memo</t>
        </is>
      </c>
      <c r="K154" s="15" t="inlineStr">
        <is>
          <t>project_instance</t>
        </is>
      </c>
    </row>
    <row r="155" ht="90" customHeight="1" s="12">
      <c r="A155" s="15" t="inlineStr">
        <is>
          <t>George</t>
        </is>
      </c>
      <c r="B155" s="15" t="inlineStr">
        <is>
          <t>Deal Pipeline</t>
        </is>
      </c>
      <c r="C155" s="15" t="inlineStr">
        <is>
          <t>Decision Review</t>
        </is>
      </c>
      <c r="D155" s="16">
        <f>HYPERLINK('Link Config'!$B$2&amp;"plugins/vc/tasks/review-ic-memo.md","Review IC Memo")</f>
        <v/>
      </c>
      <c r="E155" s="15" t="inlineStr">
        <is>
          <t>Review IC Memo for one venture-capital opportunity with evidence capture, human review gates, and next-action recommendations.</t>
        </is>
      </c>
      <c r="F155" s="16">
        <f>HYPERLINK('Link Config'!$B$2&amp;"plugins/vc/agents/vc-ic-prep-producer.md","IC Prep Producer")</f>
        <v/>
      </c>
      <c r="G155" s="15" t="inlineStr"/>
      <c r="H155" s="16">
        <f>HYPERLINK('Link Config'!$B$2&amp;"plugins/vc/alludium/documents/shared/evidence-citation-style-guide.md","Evidence And Citation Style Guide (style_guide)")</f>
        <v/>
      </c>
      <c r="I155" s="15" t="inlineStr">
        <is>
          <t>alludium-platform
exa-mcp-hosted
brave-search-mcp
serpapi-mcp
dealroom-mcp
google_drive</t>
        </is>
      </c>
      <c r="J155" s="15" t="inlineStr">
        <is>
          <t>review-ic-memo</t>
        </is>
      </c>
      <c r="K155" s="15" t="inlineStr">
        <is>
          <t>project_instance</t>
        </is>
      </c>
    </row>
    <row r="156" ht="90" customHeight="1" s="12">
      <c r="A156" s="15" t="inlineStr">
        <is>
          <t>George</t>
        </is>
      </c>
      <c r="B156" s="15" t="inlineStr">
        <is>
          <t>Deal Pipeline</t>
        </is>
      </c>
      <c r="C156" s="15" t="inlineStr">
        <is>
          <t>Decision Review</t>
        </is>
      </c>
      <c r="D156" s="16">
        <f>HYPERLINK('Link Config'!$B$2&amp;"plugins/vc/tasks/review-ic-memo.md","Review IC Memo")</f>
        <v/>
      </c>
      <c r="E156" s="15" t="inlineStr">
        <is>
          <t>Review IC Memo for one venture-capital opportunity with evidence capture, human review gates, and next-action recommendations.</t>
        </is>
      </c>
      <c r="F156" s="16">
        <f>HYPERLINK('Link Config'!$B$2&amp;"plugins/vc/agents/vc-ic-prep-producer.md","IC Prep Producer")</f>
        <v/>
      </c>
      <c r="G156" s="15" t="inlineStr"/>
      <c r="H156" s="16">
        <f>HYPERLINK('Link Config'!$B$2&amp;"plugins/vc/alludium/documents/shared/template-use-guidance.md","Template Use Guidance (operating_guidance)")</f>
        <v/>
      </c>
      <c r="I156" s="15" t="inlineStr">
        <is>
          <t>alludium-platform
exa-mcp-hosted
brave-search-mcp
serpapi-mcp
dealroom-mcp
google_drive</t>
        </is>
      </c>
      <c r="J156" s="15" t="inlineStr">
        <is>
          <t>review-ic-memo</t>
        </is>
      </c>
      <c r="K156" s="15" t="inlineStr">
        <is>
          <t>project_instance</t>
        </is>
      </c>
    </row>
    <row r="157" ht="90" customHeight="1" s="12">
      <c r="A157" s="15" t="inlineStr">
        <is>
          <t>George</t>
        </is>
      </c>
      <c r="B157" s="15" t="inlineStr">
        <is>
          <t>Deal Pipeline</t>
        </is>
      </c>
      <c r="C157" s="15" t="inlineStr">
        <is>
          <t>Decision Review</t>
        </is>
      </c>
      <c r="D157" s="16">
        <f>HYPERLINK('Link Config'!$B$2&amp;"plugins/vc/tasks/record-ic-decision.md","Record IC Decision")</f>
        <v/>
      </c>
      <c r="E157" s="15" t="inlineStr">
        <is>
          <t>Record IC Decision for one venture-capital opportunity with evidence capture, human review gates, and next-action recommendations.</t>
        </is>
      </c>
      <c r="F157" s="16">
        <f>HYPERLINK('Link Config'!$B$2&amp;"plugins/vc/agents/vc-ic-prep-producer.md","IC Prep Producer")</f>
        <v/>
      </c>
      <c r="G157" s="16">
        <f>HYPERLINK('Link Config'!$B$2&amp;"plugins/vc/skills/citation-enforcement/SKILL.md","Citation Enforcement")</f>
        <v/>
      </c>
      <c r="H157" s="16">
        <f>HYPERLINK('Link Config'!$B$2&amp;"plugins/vc/alludium/documents/deal-room/ic-decision-record-template.md","IC Decision Record Template (output_template, to ic_decision_record_artifact_id)")</f>
        <v/>
      </c>
      <c r="I157" s="15" t="inlineStr">
        <is>
          <t>alludium-platform
exa-mcp-hosted
brave-search-mcp
serpapi-mcp
dealroom-mcp
google_drive</t>
        </is>
      </c>
      <c r="J157" s="15" t="inlineStr">
        <is>
          <t>record-ic-decision</t>
        </is>
      </c>
      <c r="K157" s="15" t="inlineStr">
        <is>
          <t>project_instance</t>
        </is>
      </c>
    </row>
    <row r="158" ht="90" customHeight="1" s="12">
      <c r="A158" s="15" t="inlineStr">
        <is>
          <t>George</t>
        </is>
      </c>
      <c r="B158" s="15" t="inlineStr">
        <is>
          <t>Deal Pipeline</t>
        </is>
      </c>
      <c r="C158" s="15" t="inlineStr">
        <is>
          <t>Decision Review</t>
        </is>
      </c>
      <c r="D158" s="16">
        <f>HYPERLINK('Link Config'!$B$2&amp;"plugins/vc/tasks/record-ic-decision.md","Record IC Decision")</f>
        <v/>
      </c>
      <c r="E158" s="15" t="inlineStr">
        <is>
          <t>Record IC Decision for one venture-capital opportunity with evidence capture, human review gates, and next-action recommendations.</t>
        </is>
      </c>
      <c r="F158" s="16">
        <f>HYPERLINK('Link Config'!$B$2&amp;"plugins/vc/agents/vc-ic-prep-producer.md","IC Prep Producer")</f>
        <v/>
      </c>
      <c r="G158" s="16">
        <f>HYPERLINK('Link Config'!$B$2&amp;"plugins/vc/skills/ic-risk-checklist-and-decision-log/SKILL.md","IC Risk Checklist &amp; Decision Log")</f>
        <v/>
      </c>
      <c r="H158" s="16">
        <f>HYPERLINK('Link Config'!$B$2&amp;"plugins/vc/alludium/documents/shared/evidence-citation-style-guide.md","Evidence And Citation Style Guide (style_guide)")</f>
        <v/>
      </c>
      <c r="I158" s="15" t="inlineStr">
        <is>
          <t>alludium-platform
exa-mcp-hosted
brave-search-mcp
serpapi-mcp
dealroom-mcp
google_drive</t>
        </is>
      </c>
      <c r="J158" s="15" t="inlineStr">
        <is>
          <t>record-ic-decision</t>
        </is>
      </c>
      <c r="K158" s="15" t="inlineStr">
        <is>
          <t>project_instance</t>
        </is>
      </c>
    </row>
    <row r="159" ht="90" customHeight="1" s="12">
      <c r="A159" s="15" t="inlineStr">
        <is>
          <t>George</t>
        </is>
      </c>
      <c r="B159" s="15" t="inlineStr">
        <is>
          <t>Deal Pipeline</t>
        </is>
      </c>
      <c r="C159" s="15" t="inlineStr">
        <is>
          <t>Decision Review</t>
        </is>
      </c>
      <c r="D159" s="16">
        <f>HYPERLINK('Link Config'!$B$2&amp;"plugins/vc/tasks/record-ic-decision.md","Record IC Decision")</f>
        <v/>
      </c>
      <c r="E159" s="15" t="inlineStr">
        <is>
          <t>Record IC Decision for one venture-capital opportunity with evidence capture, human review gates, and next-action recommendations.</t>
        </is>
      </c>
      <c r="F159" s="16">
        <f>HYPERLINK('Link Config'!$B$2&amp;"plugins/vc/agents/vc-ic-prep-producer.md","IC Prep Producer")</f>
        <v/>
      </c>
      <c r="G159" s="16">
        <f>HYPERLINK('Link Config'!$B$2&amp;"plugins/vc/skills/vc-task-and-next-step-generation/SKILL.md","VC Task &amp; Next-Step Generation")</f>
        <v/>
      </c>
      <c r="H159" s="16">
        <f>HYPERLINK('Link Config'!$B$2&amp;"plugins/vc/alludium/documents/shared/template-use-guidance.md","Template Use Guidance (operating_guidance)")</f>
        <v/>
      </c>
      <c r="I159" s="15" t="inlineStr">
        <is>
          <t>alludium-platform
exa-mcp-hosted
brave-search-mcp
serpapi-mcp
dealroom-mcp
google_drive</t>
        </is>
      </c>
      <c r="J159" s="15" t="inlineStr">
        <is>
          <t>record-ic-decision</t>
        </is>
      </c>
      <c r="K159" s="15" t="inlineStr">
        <is>
          <t>project_instance</t>
        </is>
      </c>
    </row>
    <row r="160" ht="90" customHeight="1" s="12">
      <c r="A160" s="15" t="inlineStr"/>
      <c r="B160" s="15" t="inlineStr">
        <is>
          <t>Deal Pipeline</t>
        </is>
      </c>
      <c r="C160" s="15" t="inlineStr">
        <is>
          <t>Deal Structuring</t>
        </is>
      </c>
      <c r="D160" s="16">
        <f>HYPERLINK('Link Config'!$B$2&amp;"plugins/vc/tasks/analyze-deal-terms.md","Analyze Deal Terms")</f>
        <v/>
      </c>
      <c r="E160" s="15" t="inlineStr">
        <is>
          <t>Analyze proposed venture deal economics, ownership, dilution, ESOP, and commercial open terms without providing legal advice or approving terms.</t>
        </is>
      </c>
      <c r="F160" s="16">
        <f>HYPERLINK('Link Config'!$B$2&amp;"plugins/vc/agents/vc-legal-compliance-desk.md","Legal &amp; Compliance Desk")</f>
        <v/>
      </c>
      <c r="G160" s="16">
        <f>HYPERLINK('Link Config'!$B$2&amp;"plugins/vc/skills/deal-terms-analysis/SKILL.md","Deal Terms Analysis")</f>
        <v/>
      </c>
      <c r="H160" s="16">
        <f>HYPERLINK('Link Config'!$B$2&amp;"plugins/vc/alludium/documents/deal-room/deal-terms-analysis-template.md","Deal Terms Analysis Template (output_template, to deal_terms_analysis_artifact_id)")</f>
        <v/>
      </c>
      <c r="I160" s="15" t="inlineStr">
        <is>
          <t>alludium-platform
affinity-mcp-server
exa-mcp-hosted
brave-search-mcp
dealroom-mcp
google_drive</t>
        </is>
      </c>
      <c r="J160" s="15" t="inlineStr">
        <is>
          <t>analyze-deal-terms</t>
        </is>
      </c>
      <c r="K160" s="15" t="inlineStr">
        <is>
          <t>project_instance</t>
        </is>
      </c>
    </row>
    <row r="161" ht="90" customHeight="1" s="12">
      <c r="A161" s="15" t="inlineStr"/>
      <c r="B161" s="15" t="inlineStr">
        <is>
          <t>Deal Pipeline</t>
        </is>
      </c>
      <c r="C161" s="15" t="inlineStr">
        <is>
          <t>Deal Structuring</t>
        </is>
      </c>
      <c r="D161" s="16">
        <f>HYPERLINK('Link Config'!$B$2&amp;"plugins/vc/tasks/analyze-deal-terms.md","Analyze Deal Terms")</f>
        <v/>
      </c>
      <c r="E161" s="15" t="inlineStr">
        <is>
          <t>Analyze proposed venture deal economics, ownership, dilution, ESOP, and commercial open terms without providing legal advice or approving terms.</t>
        </is>
      </c>
      <c r="F161" s="16">
        <f>HYPERLINK('Link Config'!$B$2&amp;"plugins/vc/agents/vc-legal-compliance-desk.md","Legal &amp; Compliance Desk")</f>
        <v/>
      </c>
      <c r="G161" s="16">
        <f>HYPERLINK('Link Config'!$B$2&amp;"plugins/vc/skills/citation-enforcement/SKILL.md","Citation Enforcement")</f>
        <v/>
      </c>
      <c r="H161" s="16">
        <f>HYPERLINK('Link Config'!$B$2&amp;"plugins/vc/alludium/documents/shared/evidence-citation-style-guide.md","Evidence And Citation Style Guide (style_guide)")</f>
        <v/>
      </c>
      <c r="I161" s="15" t="inlineStr">
        <is>
          <t>alludium-platform
affinity-mcp-server
exa-mcp-hosted
brave-search-mcp
dealroom-mcp
google_drive</t>
        </is>
      </c>
      <c r="J161" s="15" t="inlineStr">
        <is>
          <t>analyze-deal-terms</t>
        </is>
      </c>
      <c r="K161" s="15" t="inlineStr">
        <is>
          <t>project_instance</t>
        </is>
      </c>
    </row>
    <row r="162" ht="90" customHeight="1" s="12">
      <c r="A162" s="15" t="inlineStr"/>
      <c r="B162" s="15" t="inlineStr">
        <is>
          <t>Deal Pipeline</t>
        </is>
      </c>
      <c r="C162" s="15" t="inlineStr">
        <is>
          <t>Deal Structuring</t>
        </is>
      </c>
      <c r="D162" s="16">
        <f>HYPERLINK('Link Config'!$B$2&amp;"plugins/vc/tasks/analyze-deal-terms.md","Analyze Deal Terms")</f>
        <v/>
      </c>
      <c r="E162" s="15" t="inlineStr">
        <is>
          <t>Analyze proposed venture deal economics, ownership, dilution, ESOP, and commercial open terms without providing legal advice or approving terms.</t>
        </is>
      </c>
      <c r="F162" s="16">
        <f>HYPERLINK('Link Config'!$B$2&amp;"plugins/vc/agents/vc-legal-compliance-desk.md","Legal &amp; Compliance Desk")</f>
        <v/>
      </c>
      <c r="G162" s="15" t="inlineStr"/>
      <c r="H162" s="16">
        <f>HYPERLINK('Link Config'!$B$2&amp;"plugins/vc/alludium/documents/shared/template-use-guidance.md","Template Use Guidance (operating_guidance)")</f>
        <v/>
      </c>
      <c r="I162" s="15" t="inlineStr">
        <is>
          <t>alludium-platform
affinity-mcp-server
exa-mcp-hosted
brave-search-mcp
dealroom-mcp
google_drive</t>
        </is>
      </c>
      <c r="J162" s="15" t="inlineStr">
        <is>
          <t>analyze-deal-terms</t>
        </is>
      </c>
      <c r="K162" s="15" t="inlineStr">
        <is>
          <t>project_instance</t>
        </is>
      </c>
    </row>
    <row r="163" ht="90" customHeight="1" s="12">
      <c r="A163" s="15" t="inlineStr"/>
      <c r="B163" s="15" t="inlineStr">
        <is>
          <t>Deal Pipeline</t>
        </is>
      </c>
      <c r="C163" s="15" t="inlineStr">
        <is>
          <t>Deal Structuring</t>
        </is>
      </c>
      <c r="D163" s="16">
        <f>HYPERLINK('Link Config'!$B$2&amp;"plugins/vc/tasks/track-term-sheet-negotiation.md","Track Term Sheet Negotiation")</f>
        <v/>
      </c>
      <c r="E163" s="15" t="inlineStr">
        <is>
          <t>Organize open term-sheet issues, give/get options, counsel questions, and approval points without negotiating or approving legal language.</t>
        </is>
      </c>
      <c r="F163" s="16">
        <f>HYPERLINK('Link Config'!$B$2&amp;"plugins/vc/agents/vc-legal-compliance-desk.md","Legal &amp; Compliance Desk")</f>
        <v/>
      </c>
      <c r="G163" s="16">
        <f>HYPERLINK('Link Config'!$B$2&amp;"plugins/vc/skills/term-sheet-negotiation-brief/SKILL.md","Term Sheet Negotiation Brief")</f>
        <v/>
      </c>
      <c r="H163" s="16">
        <f>HYPERLINK('Link Config'!$B$2&amp;"plugins/vc/alludium/documents/deal-room/term-sheet-negotiation-brief-template.md","Term Sheet Negotiation Brief Template (output_template, to negotiation_brief_artifact_id)")</f>
        <v/>
      </c>
      <c r="I163" s="15" t="inlineStr">
        <is>
          <t>alludium-platform
affinity-mcp-server
exa-mcp-hosted
brave-search-mcp
dealroom-mcp
google_drive</t>
        </is>
      </c>
      <c r="J163" s="15" t="inlineStr">
        <is>
          <t>track-term-sheet-negotiation</t>
        </is>
      </c>
      <c r="K163" s="15" t="inlineStr">
        <is>
          <t>project_instance</t>
        </is>
      </c>
    </row>
    <row r="164" ht="90" customHeight="1" s="12">
      <c r="A164" s="15" t="inlineStr"/>
      <c r="B164" s="15" t="inlineStr">
        <is>
          <t>Deal Pipeline</t>
        </is>
      </c>
      <c r="C164" s="15" t="inlineStr">
        <is>
          <t>Deal Structuring</t>
        </is>
      </c>
      <c r="D164" s="16">
        <f>HYPERLINK('Link Config'!$B$2&amp;"plugins/vc/tasks/track-term-sheet-negotiation.md","Track Term Sheet Negotiation")</f>
        <v/>
      </c>
      <c r="E164" s="15" t="inlineStr">
        <is>
          <t>Organize open term-sheet issues, give/get options, counsel questions, and approval points without negotiating or approving legal language.</t>
        </is>
      </c>
      <c r="F164" s="16">
        <f>HYPERLINK('Link Config'!$B$2&amp;"plugins/vc/agents/vc-legal-compliance-desk.md","Legal &amp; Compliance Desk")</f>
        <v/>
      </c>
      <c r="G164" s="16">
        <f>HYPERLINK('Link Config'!$B$2&amp;"plugins/vc/skills/deal-terms-analysis/SKILL.md","Deal Terms Analysis")</f>
        <v/>
      </c>
      <c r="H164" s="16">
        <f>HYPERLINK('Link Config'!$B$2&amp;"plugins/vc/alludium/documents/shared/evidence-citation-style-guide.md","Evidence And Citation Style Guide (style_guide)")</f>
        <v/>
      </c>
      <c r="I164" s="15" t="inlineStr">
        <is>
          <t>alludium-platform
affinity-mcp-server
exa-mcp-hosted
brave-search-mcp
dealroom-mcp
google_drive</t>
        </is>
      </c>
      <c r="J164" s="15" t="inlineStr">
        <is>
          <t>track-term-sheet-negotiation</t>
        </is>
      </c>
      <c r="K164" s="15" t="inlineStr">
        <is>
          <t>project_instance</t>
        </is>
      </c>
    </row>
    <row r="165" ht="90" customHeight="1" s="12">
      <c r="A165" s="15" t="inlineStr"/>
      <c r="B165" s="15" t="inlineStr">
        <is>
          <t>Deal Pipeline</t>
        </is>
      </c>
      <c r="C165" s="15" t="inlineStr">
        <is>
          <t>Deal Structuring</t>
        </is>
      </c>
      <c r="D165" s="16">
        <f>HYPERLINK('Link Config'!$B$2&amp;"plugins/vc/tasks/track-term-sheet-negotiation.md","Track Term Sheet Negotiation")</f>
        <v/>
      </c>
      <c r="E165" s="15" t="inlineStr">
        <is>
          <t>Organize open term-sheet issues, give/get options, counsel questions, and approval points without negotiating or approving legal language.</t>
        </is>
      </c>
      <c r="F165" s="16">
        <f>HYPERLINK('Link Config'!$B$2&amp;"plugins/vc/agents/vc-legal-compliance-desk.md","Legal &amp; Compliance Desk")</f>
        <v/>
      </c>
      <c r="G165" s="16">
        <f>HYPERLINK('Link Config'!$B$2&amp;"plugins/vc/skills/citation-enforcement/SKILL.md","Citation Enforcement")</f>
        <v/>
      </c>
      <c r="H165" s="16">
        <f>HYPERLINK('Link Config'!$B$2&amp;"plugins/vc/alludium/documents/shared/template-use-guidance.md","Template Use Guidance (operating_guidance)")</f>
        <v/>
      </c>
      <c r="I165" s="15" t="inlineStr">
        <is>
          <t>alludium-platform
affinity-mcp-server
exa-mcp-hosted
brave-search-mcp
dealroom-mcp
google_drive</t>
        </is>
      </c>
      <c r="J165" s="15" t="inlineStr">
        <is>
          <t>track-term-sheet-negotiation</t>
        </is>
      </c>
      <c r="K165" s="15" t="inlineStr">
        <is>
          <t>project_instance</t>
        </is>
      </c>
    </row>
    <row r="166" ht="90" customHeight="1" s="12">
      <c r="A166" s="15" t="inlineStr">
        <is>
          <t>George</t>
        </is>
      </c>
      <c r="B166" s="15" t="inlineStr">
        <is>
          <t>Deal Pipeline</t>
        </is>
      </c>
      <c r="C166" s="15" t="inlineStr">
        <is>
          <t>Deal Structuring</t>
        </is>
      </c>
      <c r="D166" s="16">
        <f>HYPERLINK('Link Config'!$B$2&amp;"plugins/vc/tasks/review-term-sheet.md","Review Term Sheet")</f>
        <v/>
      </c>
      <c r="E166" s="15" t="inlineStr">
        <is>
          <t>Review Term Sheet for one venture-capital opportunity with evidence capture, human review gates, and next-action recommendations.</t>
        </is>
      </c>
      <c r="F166" s="16">
        <f>HYPERLINK('Link Config'!$B$2&amp;"plugins/vc/agents/vc-legal-compliance-desk.md","Legal &amp; Compliance Desk")</f>
        <v/>
      </c>
      <c r="G166" s="16">
        <f>HYPERLINK('Link Config'!$B$2&amp;"plugins/vc/skills/red-flags-scanner/SKILL.md","Red Flags Scanner")</f>
        <v/>
      </c>
      <c r="H166" s="16">
        <f>HYPERLINK('Link Config'!$B$2&amp;"plugins/vc/alludium/documents/deal-room/term-sheet-review-template.md","Term Sheet Review Template (output_template, to term_sheet_review_artifact_id)")</f>
        <v/>
      </c>
      <c r="I166" s="15" t="inlineStr">
        <is>
          <t>alludium-platform
affinity-mcp-server
exa-mcp-hosted
brave-search-mcp
dealroom-mcp
google_drive</t>
        </is>
      </c>
      <c r="J166" s="15" t="inlineStr">
        <is>
          <t>review-term-sheet</t>
        </is>
      </c>
      <c r="K166" s="15" t="inlineStr">
        <is>
          <t>project_instance</t>
        </is>
      </c>
    </row>
    <row r="167" ht="90" customHeight="1" s="12">
      <c r="A167" s="15" t="inlineStr">
        <is>
          <t>George</t>
        </is>
      </c>
      <c r="B167" s="15" t="inlineStr">
        <is>
          <t>Deal Pipeline</t>
        </is>
      </c>
      <c r="C167" s="15" t="inlineStr">
        <is>
          <t>Deal Structuring</t>
        </is>
      </c>
      <c r="D167" s="16">
        <f>HYPERLINK('Link Config'!$B$2&amp;"plugins/vc/tasks/review-term-sheet.md","Review Term Sheet")</f>
        <v/>
      </c>
      <c r="E167" s="15" t="inlineStr">
        <is>
          <t>Review Term Sheet for one venture-capital opportunity with evidence capture, human review gates, and next-action recommendations.</t>
        </is>
      </c>
      <c r="F167" s="16">
        <f>HYPERLINK('Link Config'!$B$2&amp;"plugins/vc/agents/vc-legal-compliance-desk.md","Legal &amp; Compliance Desk")</f>
        <v/>
      </c>
      <c r="G167" s="16">
        <f>HYPERLINK('Link Config'!$B$2&amp;"plugins/vc/skills/citation-enforcement/SKILL.md","Citation Enforcement")</f>
        <v/>
      </c>
      <c r="H167" s="16">
        <f>HYPERLINK('Link Config'!$B$2&amp;"plugins/vc/alludium/documents/shared/evidence-citation-style-guide.md","Evidence And Citation Style Guide (style_guide)")</f>
        <v/>
      </c>
      <c r="I167" s="15" t="inlineStr">
        <is>
          <t>alludium-platform
affinity-mcp-server
exa-mcp-hosted
brave-search-mcp
dealroom-mcp
google_drive</t>
        </is>
      </c>
      <c r="J167" s="15" t="inlineStr">
        <is>
          <t>review-term-sheet</t>
        </is>
      </c>
      <c r="K167" s="15" t="inlineStr">
        <is>
          <t>project_instance</t>
        </is>
      </c>
    </row>
    <row r="168" ht="90" customHeight="1" s="12">
      <c r="A168" s="15" t="inlineStr">
        <is>
          <t>George</t>
        </is>
      </c>
      <c r="B168" s="15" t="inlineStr">
        <is>
          <t>Deal Pipeline</t>
        </is>
      </c>
      <c r="C168" s="15" t="inlineStr">
        <is>
          <t>Deal Structuring</t>
        </is>
      </c>
      <c r="D168" s="16">
        <f>HYPERLINK('Link Config'!$B$2&amp;"plugins/vc/tasks/review-term-sheet.md","Review Term Sheet")</f>
        <v/>
      </c>
      <c r="E168" s="15" t="inlineStr">
        <is>
          <t>Review Term Sheet for one venture-capital opportunity with evidence capture, human review gates, and next-action recommendations.</t>
        </is>
      </c>
      <c r="F168" s="16">
        <f>HYPERLINK('Link Config'!$B$2&amp;"plugins/vc/agents/vc-legal-compliance-desk.md","Legal &amp; Compliance Desk")</f>
        <v/>
      </c>
      <c r="G168" s="16">
        <f>HYPERLINK('Link Config'!$B$2&amp;"plugins/vc/skills/closing-coordination-and-cp-tracking/SKILL.md","Closing Coordination &amp; CP Tracking")</f>
        <v/>
      </c>
      <c r="H168" s="16">
        <f>HYPERLINK('Link Config'!$B$2&amp;"plugins/vc/alludium/documents/shared/template-use-guidance.md","Template Use Guidance (operating_guidance)")</f>
        <v/>
      </c>
      <c r="I168" s="15" t="inlineStr">
        <is>
          <t>alludium-platform
affinity-mcp-server
exa-mcp-hosted
brave-search-mcp
dealroom-mcp
google_drive</t>
        </is>
      </c>
      <c r="J168" s="15" t="inlineStr">
        <is>
          <t>review-term-sheet</t>
        </is>
      </c>
      <c r="K168" s="15" t="inlineStr">
        <is>
          <t>project_instance</t>
        </is>
      </c>
    </row>
    <row r="169" ht="18" customHeight="1" s="12">
      <c r="A169" s="15" t="inlineStr"/>
      <c r="B169" s="15" t="inlineStr">
        <is>
          <t>Origination Pipeline</t>
        </is>
      </c>
      <c r="C169" s="15" t="inlineStr">
        <is>
          <t>Setup</t>
        </is>
      </c>
      <c r="D169" s="15" t="inlineStr">
        <is>
          <t>Project Source Choice</t>
        </is>
      </c>
      <c r="E169" s="15" t="inlineStr">
        <is>
          <t>Choose the source of truth or setup route for the project.</t>
        </is>
      </c>
      <c r="F169" s="16">
        <f>HYPERLINK('Link Config'!$B$2&amp;"plugins/vc/agents/vc-origination-scout.md","Origination Scout")</f>
        <v/>
      </c>
      <c r="G169" s="15" t="inlineStr">
        <is>
          <t>None declared</t>
        </is>
      </c>
      <c r="H169" s="15" t="inlineStr">
        <is>
          <t>None declared</t>
        </is>
      </c>
      <c r="I169" s="15" t="inlineStr">
        <is>
          <t>None declared</t>
        </is>
      </c>
      <c r="J169" s="15" t="inlineStr">
        <is>
          <t>project-source-choice</t>
        </is>
      </c>
      <c r="K169" s="15" t="inlineStr">
        <is>
          <t>setup</t>
        </is>
      </c>
    </row>
    <row r="170" ht="18" customHeight="1" s="12">
      <c r="A170" s="15" t="inlineStr"/>
      <c r="B170" s="15" t="inlineStr">
        <is>
          <t>Origination Pipeline</t>
        </is>
      </c>
      <c r="C170" s="15" t="inlineStr">
        <is>
          <t>Setup</t>
        </is>
      </c>
      <c r="D170" s="15" t="inlineStr">
        <is>
          <t>Project Variable Review</t>
        </is>
      </c>
      <c r="E170" s="15" t="inlineStr">
        <is>
          <t>Review workspace and project variables before normal execution.</t>
        </is>
      </c>
      <c r="F170" s="16">
        <f>HYPERLINK('Link Config'!$B$2&amp;"plugins/vc/agents/vc-origination-scout.md","Origination Scout")</f>
        <v/>
      </c>
      <c r="G170" s="15" t="inlineStr">
        <is>
          <t>None declared</t>
        </is>
      </c>
      <c r="H170" s="15" t="inlineStr">
        <is>
          <t>None declared</t>
        </is>
      </c>
      <c r="I170" s="15" t="inlineStr">
        <is>
          <t>None declared</t>
        </is>
      </c>
      <c r="J170" s="15" t="inlineStr">
        <is>
          <t>project-variable-review</t>
        </is>
      </c>
      <c r="K170" s="15" t="inlineStr">
        <is>
          <t>setup</t>
        </is>
      </c>
    </row>
    <row r="171" ht="18" customHeight="1" s="12">
      <c r="A171" s="15" t="inlineStr"/>
      <c r="B171" s="15" t="inlineStr">
        <is>
          <t>Origination Pipeline</t>
        </is>
      </c>
      <c r="C171" s="15" t="inlineStr">
        <is>
          <t>Setup</t>
        </is>
      </c>
      <c r="D171" s="15" t="inlineStr">
        <is>
          <t>Project Schedule Review</t>
        </is>
      </c>
      <c r="E171" s="15" t="inlineStr">
        <is>
          <t>Review optional schedule groups before enabling recurring work.</t>
        </is>
      </c>
      <c r="F171" s="16">
        <f>HYPERLINK('Link Config'!$B$2&amp;"plugins/vc/agents/vc-origination-scout.md","Origination Scout")</f>
        <v/>
      </c>
      <c r="G171" s="15" t="inlineStr">
        <is>
          <t>None declared</t>
        </is>
      </c>
      <c r="H171" s="15" t="inlineStr">
        <is>
          <t>None declared</t>
        </is>
      </c>
      <c r="I171" s="15" t="inlineStr">
        <is>
          <t>None declared</t>
        </is>
      </c>
      <c r="J171" s="15" t="inlineStr">
        <is>
          <t>project-schedule-review</t>
        </is>
      </c>
      <c r="K171" s="15" t="inlineStr">
        <is>
          <t>setup</t>
        </is>
      </c>
    </row>
    <row r="172" ht="18" customHeight="1" s="12">
      <c r="A172" s="15" t="inlineStr"/>
      <c r="B172" s="15" t="inlineStr">
        <is>
          <t>Origination Pipeline</t>
        </is>
      </c>
      <c r="C172" s="15" t="inlineStr">
        <is>
          <t>Setup</t>
        </is>
      </c>
      <c r="D172" s="16">
        <f>HYPERLINK('Link Config'!$B$2&amp;"plugins/vc/tasks/configure-origination-pipeline.md","Configure Origination Pipeline")</f>
        <v/>
      </c>
      <c r="E172" s="15" t="inlineStr">
        <is>
          <t>Capture thesis, source selection, cadence intent, budget policy, review thresholds, and integration-readiness requirements for a VC origination pipeline.</t>
        </is>
      </c>
      <c r="F172" s="16">
        <f>HYPERLINK('Link Config'!$B$2&amp;"plugins/vc/agents/vc-sourcing-operator.md","Sourcing Operator")</f>
        <v/>
      </c>
      <c r="G172" s="16">
        <f>HYPERLINK('Link Config'!$B$2&amp;"plugins/vc/skills/vc-origination-pipeline-orchestration/SKILL.md","Origination Pipeline Orchestration")</f>
        <v/>
      </c>
      <c r="H172" s="16">
        <f>HYPERLINK('Link Config'!$B$2&amp;"plugins/vc/alludium/documents/origination/origination-pipeline-sop.md","Origination Pipeline Operating SOP (operating_guidance)")</f>
        <v/>
      </c>
      <c r="I172" s="15" t="inlineStr">
        <is>
          <t>None declared</t>
        </is>
      </c>
      <c r="J172" s="15" t="inlineStr">
        <is>
          <t>configure-origination-pipeline</t>
        </is>
      </c>
      <c r="K172" s="15" t="inlineStr">
        <is>
          <t>setup</t>
        </is>
      </c>
    </row>
    <row r="173" ht="18" customHeight="1" s="12">
      <c r="A173" s="15" t="inlineStr"/>
      <c r="B173" s="15" t="inlineStr">
        <is>
          <t>Origination Pipeline</t>
        </is>
      </c>
      <c r="C173" s="15" t="inlineStr">
        <is>
          <t>Setup</t>
        </is>
      </c>
      <c r="D173" s="16">
        <f>HYPERLINK('Link Config'!$B$2&amp;"plugins/vc/tasks/configure-origination-pipeline.md","Configure Origination Pipeline")</f>
        <v/>
      </c>
      <c r="E173" s="15" t="inlineStr">
        <is>
          <t>Capture thesis, source selection, cadence intent, budget policy, review thresholds, and integration-readiness requirements for a VC origination pipeline.</t>
        </is>
      </c>
      <c r="F173" s="16">
        <f>HYPERLINK('Link Config'!$B$2&amp;"plugins/vc/agents/vc-sourcing-operator.md","Sourcing Operator")</f>
        <v/>
      </c>
      <c r="G173" s="16">
        <f>HYPERLINK('Link Config'!$B$2&amp;"plugins/vc/skills/citation-enforcement/SKILL.md","Citation Enforcement")</f>
        <v/>
      </c>
      <c r="H173" s="16">
        <f>HYPERLINK('Link Config'!$B$2&amp;"plugins/vc/alludium/documents/origination/origination-source-strategy-guide.md","Origination Source Strategy Guide (methodology)")</f>
        <v/>
      </c>
      <c r="I173" s="15" t="inlineStr">
        <is>
          <t>None declared</t>
        </is>
      </c>
      <c r="J173" s="15" t="inlineStr">
        <is>
          <t>configure-origination-pipeline</t>
        </is>
      </c>
      <c r="K173" s="15" t="inlineStr">
        <is>
          <t>setup</t>
        </is>
      </c>
    </row>
    <row r="174" ht="18" customHeight="1" s="12">
      <c r="A174" s="15" t="inlineStr"/>
      <c r="B174" s="15" t="inlineStr">
        <is>
          <t>Origination Pipeline</t>
        </is>
      </c>
      <c r="C174" s="15" t="inlineStr">
        <is>
          <t>Setup</t>
        </is>
      </c>
      <c r="D174" s="16">
        <f>HYPERLINK('Link Config'!$B$2&amp;"plugins/vc/tasks/configure-origination-pipeline.md","Configure Origination Pipeline")</f>
        <v/>
      </c>
      <c r="E174" s="15" t="inlineStr">
        <is>
          <t>Capture thesis, source selection, cadence intent, budget policy, review thresholds, and integration-readiness requirements for a VC origination pipeline.</t>
        </is>
      </c>
      <c r="F174" s="16">
        <f>HYPERLINK('Link Config'!$B$2&amp;"plugins/vc/agents/vc-sourcing-operator.md","Sourcing Operator")</f>
        <v/>
      </c>
      <c r="G174" s="15" t="inlineStr"/>
      <c r="H174" s="16">
        <f>HYPERLINK('Link Config'!$B$2&amp;"plugins/vc/alludium/documents/origination/source-registry-template.md","Source Registry Template (operating_guidance)")</f>
        <v/>
      </c>
      <c r="I174" s="15" t="inlineStr">
        <is>
          <t>None declared</t>
        </is>
      </c>
      <c r="J174" s="15" t="inlineStr">
        <is>
          <t>configure-origination-pipeline</t>
        </is>
      </c>
      <c r="K174" s="15" t="inlineStr">
        <is>
          <t>setup</t>
        </is>
      </c>
    </row>
    <row r="175" ht="18" customHeight="1" s="12">
      <c r="A175" s="15" t="inlineStr"/>
      <c r="B175" s="15" t="inlineStr">
        <is>
          <t>Origination Pipeline</t>
        </is>
      </c>
      <c r="C175" s="15" t="inlineStr">
        <is>
          <t>Setup</t>
        </is>
      </c>
      <c r="D175" s="16">
        <f>HYPERLINK('Link Config'!$B$2&amp;"plugins/vc/tasks/configure-origination-pipeline.md","Configure Origination Pipeline")</f>
        <v/>
      </c>
      <c r="E175" s="15" t="inlineStr">
        <is>
          <t>Capture thesis, source selection, cadence intent, budget policy, review thresholds, and integration-readiness requirements for a VC origination pipeline.</t>
        </is>
      </c>
      <c r="F175" s="16">
        <f>HYPERLINK('Link Config'!$B$2&amp;"plugins/vc/agents/vc-sourcing-operator.md","Sourcing Operator")</f>
        <v/>
      </c>
      <c r="G175" s="15" t="inlineStr"/>
      <c r="H175" s="16">
        <f>HYPERLINK('Link Config'!$B$2&amp;"plugins/vc/alludium/documents/shared/template-use-guidance.md","Template Use Guidance (operating_guidance)")</f>
        <v/>
      </c>
      <c r="I175" s="15" t="inlineStr">
        <is>
          <t>None declared</t>
        </is>
      </c>
      <c r="J175" s="15" t="inlineStr">
        <is>
          <t>configure-origination-pipeline</t>
        </is>
      </c>
      <c r="K175" s="15" t="inlineStr">
        <is>
          <t>setup</t>
        </is>
      </c>
    </row>
    <row r="176" ht="18" customHeight="1" s="12">
      <c r="A176" s="15" t="inlineStr"/>
      <c r="B176" s="15" t="inlineStr">
        <is>
          <t>Origination Pipeline</t>
        </is>
      </c>
      <c r="C176" s="15" t="inlineStr">
        <is>
          <t>Setup</t>
        </is>
      </c>
      <c r="D176" s="15" t="inlineStr">
        <is>
          <t>Project Source Setup</t>
        </is>
      </c>
      <c r="E176" s="15" t="inlineStr">
        <is>
          <t>Review selected source route and setup intent before writes or imports.</t>
        </is>
      </c>
      <c r="F176" s="16">
        <f>HYPERLINK('Link Config'!$B$2&amp;"plugins/vc/agents/vc-origination-scout.md","Origination Scout")</f>
        <v/>
      </c>
      <c r="G176" s="15" t="inlineStr">
        <is>
          <t>None declared</t>
        </is>
      </c>
      <c r="H176" s="15" t="inlineStr">
        <is>
          <t>None declared</t>
        </is>
      </c>
      <c r="I176" s="15" t="inlineStr">
        <is>
          <t>None declared</t>
        </is>
      </c>
      <c r="J176" s="15" t="inlineStr">
        <is>
          <t>project-source-setup</t>
        </is>
      </c>
      <c r="K176" s="15" t="inlineStr">
        <is>
          <t>setup</t>
        </is>
      </c>
    </row>
    <row r="177" ht="135" customHeight="1" s="12">
      <c r="A177" s="15" t="inlineStr"/>
      <c r="B177" s="15" t="inlineStr">
        <is>
          <t>Origination Pipeline</t>
        </is>
      </c>
      <c r="C177" s="15" t="inlineStr">
        <is>
          <t>Setup</t>
        </is>
      </c>
      <c r="D177" s="16">
        <f>HYPERLINK('Link Config'!$B$2&amp;"plugins/vc/tasks/vc-pack-variable-discovery.md","VC Pack Variable Discovery")</f>
        <v/>
      </c>
      <c r="E177" s="15" t="inlineStr">
        <is>
          <t>Best-effort, review-only discovery for VC Pack Setup variables and invite suggestions.</t>
        </is>
      </c>
      <c r="F177" s="16">
        <f>HYPERLINK('Link Config'!$B$2&amp;"plugins/vc/agents/vc-origination-scout.md","Origination Scout")</f>
        <v/>
      </c>
      <c r="G177" s="15" t="inlineStr">
        <is>
          <t>None declared</t>
        </is>
      </c>
      <c r="H177" s="15" t="inlineStr">
        <is>
          <t>None declared</t>
        </is>
      </c>
      <c r="I177" s="15" t="inlineStr">
        <is>
          <t>alludium-platform
harmonic-mcp-oauth
affinity-mcp-server
exa-mcp-hosted
brave-search-mcp
serpapi-mcp
firecrawl-mcp-hosted
dealroom-mcp
linkedin</t>
        </is>
      </c>
      <c r="J177" s="15" t="inlineStr">
        <is>
          <t>vc-pack-variable-discovery</t>
        </is>
      </c>
      <c r="K177" s="15" t="inlineStr">
        <is>
          <t>setup</t>
        </is>
      </c>
    </row>
    <row r="178" ht="18" customHeight="1" s="12">
      <c r="A178" s="15" t="inlineStr"/>
      <c r="B178" s="15" t="inlineStr">
        <is>
          <t>Origination Pipeline</t>
        </is>
      </c>
      <c r="C178" s="15" t="inlineStr">
        <is>
          <t>Setup</t>
        </is>
      </c>
      <c r="D178" s="16">
        <f>HYPERLINK('Link Config'!$B$2&amp;"plugins/vc/tasks/apify-setup.md","Set Up Apify for Origination")</f>
        <v/>
      </c>
      <c r="E178" s="15" t="inlineStr">
        <is>
          <t>Coordinate Apify connection readiness, actor allowlist, discovery scope, and read-preview policy for a VC origination pipeline.</t>
        </is>
      </c>
      <c r="F178" s="16">
        <f>HYPERLINK('Link Config'!$B$2&amp;"plugins/vc/agents/vc-integration-operator.md","Integration Operator")</f>
        <v/>
      </c>
      <c r="G178" s="16">
        <f>HYPERLINK('Link Config'!$B$2&amp;"plugins/vc/skills/vc-apify-discovery/SKILL.md","VC Apify Discovery")</f>
        <v/>
      </c>
      <c r="H178" s="15" t="inlineStr">
        <is>
          <t>None declared</t>
        </is>
      </c>
      <c r="I178" s="15" t="inlineStr">
        <is>
          <t>apify-actors-mcp</t>
        </is>
      </c>
      <c r="J178" s="15" t="inlineStr">
        <is>
          <t>apify-setup</t>
        </is>
      </c>
      <c r="K178" s="15" t="inlineStr">
        <is>
          <t>setup</t>
        </is>
      </c>
    </row>
    <row r="179" ht="18" customHeight="1" s="12">
      <c r="A179" s="15" t="inlineStr"/>
      <c r="B179" s="15" t="inlineStr">
        <is>
          <t>Origination Pipeline</t>
        </is>
      </c>
      <c r="C179" s="15" t="inlineStr">
        <is>
          <t>Setup</t>
        </is>
      </c>
      <c r="D179" s="16">
        <f>HYPERLINK('Link Config'!$B$2&amp;"plugins/vc/tasks/apify-setup.md","Set Up Apify for Origination")</f>
        <v/>
      </c>
      <c r="E179" s="15" t="inlineStr">
        <is>
          <t>Coordinate Apify connection readiness, actor allowlist, discovery scope, and read-preview policy for a VC origination pipeline.</t>
        </is>
      </c>
      <c r="F179" s="16">
        <f>HYPERLINK('Link Config'!$B$2&amp;"plugins/vc/agents/vc-integration-operator.md","Integration Operator")</f>
        <v/>
      </c>
      <c r="G179" s="16">
        <f>HYPERLINK('Link Config'!$B$2&amp;"plugins/vc/skills/vc-apify-sync-read/SKILL.md","VC Apify Sync Read")</f>
        <v/>
      </c>
      <c r="H179" s="15" t="inlineStr"/>
      <c r="I179" s="15" t="inlineStr">
        <is>
          <t>apify-actors-mcp</t>
        </is>
      </c>
      <c r="J179" s="15" t="inlineStr">
        <is>
          <t>apify-setup</t>
        </is>
      </c>
      <c r="K179" s="15" t="inlineStr">
        <is>
          <t>setup</t>
        </is>
      </c>
    </row>
    <row r="180" ht="18" customHeight="1" s="12">
      <c r="A180" s="15" t="inlineStr"/>
      <c r="B180" s="15" t="inlineStr">
        <is>
          <t>Origination Pipeline</t>
        </is>
      </c>
      <c r="C180" s="15" t="inlineStr">
        <is>
          <t>Setup</t>
        </is>
      </c>
      <c r="D180" s="16">
        <f>HYPERLINK('Link Config'!$B$2&amp;"plugins/vc/tasks/apify-setup.md","Set Up Apify for Origination")</f>
        <v/>
      </c>
      <c r="E180" s="15" t="inlineStr">
        <is>
          <t>Coordinate Apify connection readiness, actor allowlist, discovery scope, and read-preview policy for a VC origination pipeline.</t>
        </is>
      </c>
      <c r="F180" s="16">
        <f>HYPERLINK('Link Config'!$B$2&amp;"plugins/vc/agents/vc-integration-operator.md","Integration Operator")</f>
        <v/>
      </c>
      <c r="G180" s="16">
        <f>HYPERLINK('Link Config'!$B$2&amp;"plugins/vc/skills/citation-enforcement/SKILL.md","Citation Enforcement")</f>
        <v/>
      </c>
      <c r="H180" s="15" t="inlineStr"/>
      <c r="I180" s="15" t="inlineStr">
        <is>
          <t>apify-actors-mcp</t>
        </is>
      </c>
      <c r="J180" s="15" t="inlineStr">
        <is>
          <t>apify-setup</t>
        </is>
      </c>
      <c r="K180" s="15" t="inlineStr">
        <is>
          <t>setup</t>
        </is>
      </c>
    </row>
    <row r="181" ht="18" customHeight="1" s="12">
      <c r="A181" s="15" t="inlineStr"/>
      <c r="B181" s="15" t="inlineStr">
        <is>
          <t>Origination Pipeline</t>
        </is>
      </c>
      <c r="C181" s="15" t="inlineStr">
        <is>
          <t>Setup</t>
        </is>
      </c>
      <c r="D181" s="16">
        <f>HYPERLINK('Link Config'!$B$2&amp;"plugins/vc/tasks/companies-house-setup.md","Configure Companies House Public Register Preview")</f>
        <v/>
      </c>
      <c r="E181" s="15" t="inlineStr">
        <is>
          <t>Configure Firecrawl-backed public Companies House search and company-page previews for a VC origination pipeline.</t>
        </is>
      </c>
      <c r="F181" s="16">
        <f>HYPERLINK('Link Config'!$B$2&amp;"plugins/vc/agents/vc-integration-operator.md","Integration Operator")</f>
        <v/>
      </c>
      <c r="G181" s="16">
        <f>HYPERLINK('Link Config'!$B$2&amp;"plugins/vc/skills/vc-companies-house-sourcing/SKILL.md","VC Companies House Sourcing")</f>
        <v/>
      </c>
      <c r="H181" s="15" t="inlineStr">
        <is>
          <t>None declared</t>
        </is>
      </c>
      <c r="I181" s="15" t="inlineStr">
        <is>
          <t>firecrawl-mcp-hosted</t>
        </is>
      </c>
      <c r="J181" s="15" t="inlineStr">
        <is>
          <t>companies-house-setup</t>
        </is>
      </c>
      <c r="K181" s="15" t="inlineStr">
        <is>
          <t>setup</t>
        </is>
      </c>
    </row>
    <row r="182" ht="18" customHeight="1" s="12">
      <c r="A182" s="15" t="inlineStr"/>
      <c r="B182" s="15" t="inlineStr">
        <is>
          <t>Origination Pipeline</t>
        </is>
      </c>
      <c r="C182" s="15" t="inlineStr">
        <is>
          <t>Setup</t>
        </is>
      </c>
      <c r="D182" s="16">
        <f>HYPERLINK('Link Config'!$B$2&amp;"plugins/vc/tasks/companies-house-setup.md","Configure Companies House Public Register Preview")</f>
        <v/>
      </c>
      <c r="E182" s="15" t="inlineStr">
        <is>
          <t>Configure Firecrawl-backed public Companies House search and company-page previews for a VC origination pipeline.</t>
        </is>
      </c>
      <c r="F182" s="16">
        <f>HYPERLINK('Link Config'!$B$2&amp;"plugins/vc/agents/vc-integration-operator.md","Integration Operator")</f>
        <v/>
      </c>
      <c r="G182" s="16">
        <f>HYPERLINK('Link Config'!$B$2&amp;"plugins/vc/skills/vc-companies-house-sync-read/SKILL.md","VC Companies House Sync Read")</f>
        <v/>
      </c>
      <c r="H182" s="15" t="inlineStr"/>
      <c r="I182" s="15" t="inlineStr">
        <is>
          <t>firecrawl-mcp-hosted</t>
        </is>
      </c>
      <c r="J182" s="15" t="inlineStr">
        <is>
          <t>companies-house-setup</t>
        </is>
      </c>
      <c r="K182" s="15" t="inlineStr">
        <is>
          <t>setup</t>
        </is>
      </c>
    </row>
    <row r="183" ht="18" customHeight="1" s="12">
      <c r="A183" s="15" t="inlineStr"/>
      <c r="B183" s="15" t="inlineStr">
        <is>
          <t>Origination Pipeline</t>
        </is>
      </c>
      <c r="C183" s="15" t="inlineStr">
        <is>
          <t>Setup</t>
        </is>
      </c>
      <c r="D183" s="16">
        <f>HYPERLINK('Link Config'!$B$2&amp;"plugins/vc/tasks/companies-house-setup.md","Configure Companies House Public Register Preview")</f>
        <v/>
      </c>
      <c r="E183" s="15" t="inlineStr">
        <is>
          <t>Configure Firecrawl-backed public Companies House search and company-page previews for a VC origination pipeline.</t>
        </is>
      </c>
      <c r="F183" s="16">
        <f>HYPERLINK('Link Config'!$B$2&amp;"plugins/vc/agents/vc-integration-operator.md","Integration Operator")</f>
        <v/>
      </c>
      <c r="G183" s="16">
        <f>HYPERLINK('Link Config'!$B$2&amp;"plugins/vc/skills/citation-enforcement/SKILL.md","Citation Enforcement")</f>
        <v/>
      </c>
      <c r="H183" s="15" t="inlineStr"/>
      <c r="I183" s="15" t="inlineStr">
        <is>
          <t>firecrawl-mcp-hosted</t>
        </is>
      </c>
      <c r="J183" s="15" t="inlineStr">
        <is>
          <t>companies-house-setup</t>
        </is>
      </c>
      <c r="K183" s="15" t="inlineStr">
        <is>
          <t>setup</t>
        </is>
      </c>
    </row>
    <row r="184" ht="18" customHeight="1" s="12">
      <c r="A184" s="15" t="inlineStr">
        <is>
          <t>Jay</t>
        </is>
      </c>
      <c r="B184" s="15" t="inlineStr">
        <is>
          <t>Origination Pipeline</t>
        </is>
      </c>
      <c r="C184" s="15" t="inlineStr">
        <is>
          <t>Pipeline Management</t>
        </is>
      </c>
      <c r="D184" s="16">
        <f>HYPERLINK('Link Config'!$B$2&amp;"plugins/vc/tasks/review-source-errors-and-spend.md","Review Source Errors and Spend")</f>
        <v/>
      </c>
      <c r="E184" s="15" t="inlineStr">
        <is>
          <t>Review degraded source runs, cost warnings, retry safety, and required human actions.</t>
        </is>
      </c>
      <c r="F184" s="16">
        <f>HYPERLINK('Link Config'!$B$2&amp;"plugins/vc/agents/vc-sourcing-operator.md","Sourcing Operator")</f>
        <v/>
      </c>
      <c r="G184" s="16">
        <f>HYPERLINK('Link Config'!$B$2&amp;"plugins/vc/skills/vc-source-error-and-spend-audit/SKILL.md","VC Source Error &amp; Spend Audit")</f>
        <v/>
      </c>
      <c r="H184" s="16">
        <f>HYPERLINK('Link Config'!$B$2&amp;"plugins/vc/alludium/documents/origination/source-health-review-checklist.md","Source Health Review Checklist (output_template, to source_health_artifact_id)")</f>
        <v/>
      </c>
      <c r="I184" s="15" t="inlineStr">
        <is>
          <t>None declared</t>
        </is>
      </c>
      <c r="J184" s="15" t="inlineStr">
        <is>
          <t>review-source-errors-and-spend</t>
        </is>
      </c>
      <c r="K184" s="15" t="inlineStr">
        <is>
          <t>project_management</t>
        </is>
      </c>
    </row>
    <row r="185" ht="18" customHeight="1" s="12">
      <c r="A185" s="15" t="inlineStr">
        <is>
          <t>Jay</t>
        </is>
      </c>
      <c r="B185" s="15" t="inlineStr">
        <is>
          <t>Origination Pipeline</t>
        </is>
      </c>
      <c r="C185" s="15" t="inlineStr">
        <is>
          <t>Pipeline Management</t>
        </is>
      </c>
      <c r="D185" s="16">
        <f>HYPERLINK('Link Config'!$B$2&amp;"plugins/vc/tasks/review-source-errors-and-spend.md","Review Source Errors and Spend")</f>
        <v/>
      </c>
      <c r="E185" s="15" t="inlineStr">
        <is>
          <t>Review degraded source runs, cost warnings, retry safety, and required human actions.</t>
        </is>
      </c>
      <c r="F185" s="16">
        <f>HYPERLINK('Link Config'!$B$2&amp;"plugins/vc/agents/vc-sourcing-operator.md","Sourcing Operator")</f>
        <v/>
      </c>
      <c r="G185" s="16">
        <f>HYPERLINK('Link Config'!$B$2&amp;"plugins/vc/skills/vc-source-registry-and-state-management/SKILL.md","VC Source Registry &amp; State Management")</f>
        <v/>
      </c>
      <c r="H185" s="16">
        <f>HYPERLINK('Link Config'!$B$2&amp;"plugins/vc/alludium/documents/origination/paid-source-spend-audit-checklist.md","Paid Source Spend Audit Checklist (checklist)")</f>
        <v/>
      </c>
      <c r="I185" s="15" t="inlineStr">
        <is>
          <t>None declared</t>
        </is>
      </c>
      <c r="J185" s="15" t="inlineStr">
        <is>
          <t>review-source-errors-and-spend</t>
        </is>
      </c>
      <c r="K185" s="15" t="inlineStr">
        <is>
          <t>project_management</t>
        </is>
      </c>
    </row>
    <row r="186" ht="18" customHeight="1" s="12">
      <c r="A186" s="15" t="inlineStr">
        <is>
          <t>Jay</t>
        </is>
      </c>
      <c r="B186" s="15" t="inlineStr">
        <is>
          <t>Origination Pipeline</t>
        </is>
      </c>
      <c r="C186" s="15" t="inlineStr">
        <is>
          <t>Pipeline Management</t>
        </is>
      </c>
      <c r="D186" s="16">
        <f>HYPERLINK('Link Config'!$B$2&amp;"plugins/vc/tasks/review-source-errors-and-spend.md","Review Source Errors and Spend")</f>
        <v/>
      </c>
      <c r="E186" s="15" t="inlineStr">
        <is>
          <t>Review degraded source runs, cost warnings, retry safety, and required human actions.</t>
        </is>
      </c>
      <c r="F186" s="16">
        <f>HYPERLINK('Link Config'!$B$2&amp;"plugins/vc/agents/vc-sourcing-operator.md","Sourcing Operator")</f>
        <v/>
      </c>
      <c r="G186" s="16">
        <f>HYPERLINK('Link Config'!$B$2&amp;"plugins/vc/skills/citation-enforcement/SKILL.md","Citation Enforcement")</f>
        <v/>
      </c>
      <c r="H186" s="16">
        <f>HYPERLINK('Link Config'!$B$2&amp;"plugins/vc/alludium/documents/shared/template-use-guidance.md","Template Use Guidance (operating_guidance)")</f>
        <v/>
      </c>
      <c r="I186" s="15" t="inlineStr">
        <is>
          <t>None declared</t>
        </is>
      </c>
      <c r="J186" s="15" t="inlineStr">
        <is>
          <t>review-source-errors-and-spend</t>
        </is>
      </c>
      <c r="K186" s="15" t="inlineStr">
        <is>
          <t>project_management</t>
        </is>
      </c>
    </row>
    <row r="187" ht="18" customHeight="1" s="12">
      <c r="A187" s="15" t="inlineStr"/>
      <c r="B187" s="15" t="inlineStr">
        <is>
          <t>Origination Pipeline</t>
        </is>
      </c>
      <c r="C187" s="15" t="inlineStr">
        <is>
          <t>Integration Support</t>
        </is>
      </c>
      <c r="D187" s="16">
        <f>HYPERLINK('Link Config'!$B$2&amp;"plugins/vc/tasks/apify-discovery.md","Explore Apify Origination Sources")</f>
        <v/>
      </c>
      <c r="E187" s="15" t="inlineStr">
        <is>
          <t>Discover approved Apify actors, input schemas, source scope, and run-cost guardrails before any VC origination read preview.</t>
        </is>
      </c>
      <c r="F187" s="16">
        <f>HYPERLINK('Link Config'!$B$2&amp;"plugins/vc/agents/vc-integration-operator.md","Integration Operator")</f>
        <v/>
      </c>
      <c r="G187" s="16">
        <f>HYPERLINK('Link Config'!$B$2&amp;"plugins/vc/skills/vc-apify-discovery/SKILL.md","VC Apify Discovery")</f>
        <v/>
      </c>
      <c r="H187" s="15" t="inlineStr">
        <is>
          <t>None declared</t>
        </is>
      </c>
      <c r="I187" s="15" t="inlineStr">
        <is>
          <t>None declared</t>
        </is>
      </c>
      <c r="J187" s="15" t="inlineStr">
        <is>
          <t>apify-discovery</t>
        </is>
      </c>
      <c r="K187" s="15" t="inlineStr">
        <is>
          <t>project_management</t>
        </is>
      </c>
    </row>
    <row r="188" ht="18" customHeight="1" s="12">
      <c r="A188" s="15" t="inlineStr"/>
      <c r="B188" s="15" t="inlineStr">
        <is>
          <t>Origination Pipeline</t>
        </is>
      </c>
      <c r="C188" s="15" t="inlineStr">
        <is>
          <t>Integration Support</t>
        </is>
      </c>
      <c r="D188" s="16">
        <f>HYPERLINK('Link Config'!$B$2&amp;"plugins/vc/tasks/apify-discovery.md","Explore Apify Origination Sources")</f>
        <v/>
      </c>
      <c r="E188" s="15" t="inlineStr">
        <is>
          <t>Discover approved Apify actors, input schemas, source scope, and run-cost guardrails before any VC origination read preview.</t>
        </is>
      </c>
      <c r="F188" s="16">
        <f>HYPERLINK('Link Config'!$B$2&amp;"plugins/vc/agents/vc-integration-operator.md","Integration Operator")</f>
        <v/>
      </c>
      <c r="G188" s="16">
        <f>HYPERLINK('Link Config'!$B$2&amp;"plugins/vc/skills/citation-enforcement/SKILL.md","Citation Enforcement")</f>
        <v/>
      </c>
      <c r="H188" s="15" t="inlineStr"/>
      <c r="I188" s="15" t="inlineStr">
        <is>
          <t>None declared</t>
        </is>
      </c>
      <c r="J188" s="15" t="inlineStr">
        <is>
          <t>apify-discovery</t>
        </is>
      </c>
      <c r="K188" s="15" t="inlineStr">
        <is>
          <t>project_management</t>
        </is>
      </c>
    </row>
    <row r="189" ht="18" customHeight="1" s="12">
      <c r="A189" s="15" t="inlineStr"/>
      <c r="B189" s="15" t="inlineStr">
        <is>
          <t>Origination Pipeline</t>
        </is>
      </c>
      <c r="C189" s="15" t="inlineStr">
        <is>
          <t>Integration Support</t>
        </is>
      </c>
      <c r="D189" s="16">
        <f>HYPERLINK('Link Config'!$B$2&amp;"plugins/vc/tasks/companies-house-discovery.md","Explore Companies House Public Register Scope")</f>
        <v/>
      </c>
      <c r="E189" s="15" t="inlineStr">
        <is>
          <t>Discover public Companies House search URLs, result limits, and page-preview scope before selected VC origination reads.</t>
        </is>
      </c>
      <c r="F189" s="16">
        <f>HYPERLINK('Link Config'!$B$2&amp;"plugins/vc/agents/vc-integration-operator.md","Integration Operator")</f>
        <v/>
      </c>
      <c r="G189" s="16">
        <f>HYPERLINK('Link Config'!$B$2&amp;"plugins/vc/skills/vc-companies-house-sourcing/SKILL.md","VC Companies House Sourcing")</f>
        <v/>
      </c>
      <c r="H189" s="15" t="inlineStr">
        <is>
          <t>None declared</t>
        </is>
      </c>
      <c r="I189" s="15" t="inlineStr">
        <is>
          <t>None declared</t>
        </is>
      </c>
      <c r="J189" s="15" t="inlineStr">
        <is>
          <t>companies-house-discovery</t>
        </is>
      </c>
      <c r="K189" s="15" t="inlineStr">
        <is>
          <t>project_management</t>
        </is>
      </c>
    </row>
    <row r="190" ht="18" customHeight="1" s="12">
      <c r="A190" s="15" t="inlineStr"/>
      <c r="B190" s="15" t="inlineStr">
        <is>
          <t>Origination Pipeline</t>
        </is>
      </c>
      <c r="C190" s="15" t="inlineStr">
        <is>
          <t>Integration Support</t>
        </is>
      </c>
      <c r="D190" s="16">
        <f>HYPERLINK('Link Config'!$B$2&amp;"plugins/vc/tasks/companies-house-discovery.md","Explore Companies House Public Register Scope")</f>
        <v/>
      </c>
      <c r="E190" s="15" t="inlineStr">
        <is>
          <t>Discover public Companies House search URLs, result limits, and page-preview scope before selected VC origination reads.</t>
        </is>
      </c>
      <c r="F190" s="16">
        <f>HYPERLINK('Link Config'!$B$2&amp;"plugins/vc/agents/vc-integration-operator.md","Integration Operator")</f>
        <v/>
      </c>
      <c r="G190" s="16">
        <f>HYPERLINK('Link Config'!$B$2&amp;"plugins/vc/skills/citation-enforcement/SKILL.md","Citation Enforcement")</f>
        <v/>
      </c>
      <c r="H190" s="15" t="inlineStr"/>
      <c r="I190" s="15" t="inlineStr">
        <is>
          <t>None declared</t>
        </is>
      </c>
      <c r="J190" s="15" t="inlineStr">
        <is>
          <t>companies-house-discovery</t>
        </is>
      </c>
      <c r="K190" s="15" t="inlineStr">
        <is>
          <t>project_management</t>
        </is>
      </c>
    </row>
    <row r="191" ht="135" customHeight="1" s="12">
      <c r="A191" s="15" t="inlineStr"/>
      <c r="B191" s="15" t="inlineStr">
        <is>
          <t>Origination Pipeline</t>
        </is>
      </c>
      <c r="C191" s="15" t="inlineStr">
        <is>
          <t>Pipeline Management</t>
        </is>
      </c>
      <c r="D191" s="16">
        <f>HYPERLINK('Link Config'!$B$2&amp;"plugins/vc/tasks/prepare-lead-gen-packet.md","Prepare Lead Gen Packet")</f>
        <v/>
      </c>
      <c r="E191" s="15" t="inlineStr">
        <is>
          <t>Prepare Lead Gen Packet for one venture-capital opportunity with evidence capture, human review gates, and next-action recommendations.</t>
        </is>
      </c>
      <c r="F191" s="16">
        <f>HYPERLINK('Link Config'!$B$2&amp;"plugins/vc/agents/vc-origination-scout.md","Origination Scout")</f>
        <v/>
      </c>
      <c r="G191" s="16">
        <f>HYPERLINK('Link Config'!$B$2&amp;"plugins/vc/skills/company-research-and-enrichment/SKILL.md","Company Research &amp; Enrichment")</f>
        <v/>
      </c>
      <c r="H191" s="16">
        <f>HYPERLINK('Link Config'!$B$2&amp;"plugins/vc/alludium/documents/deal-room/lead-generation-packet-template.md","Lead Generation Packet Template (output_template, to lead_generation_packet_artifact_id)")</f>
        <v/>
      </c>
      <c r="I191" s="15" t="inlineStr">
        <is>
          <t>alludium-platform
harmonic-mcp-oauth
affinity-mcp-server
exa-mcp-hosted
brave-search-mcp
serpapi-mcp
firecrawl-mcp-hosted
dealroom-mcp
linkedin</t>
        </is>
      </c>
      <c r="J191" s="15" t="inlineStr">
        <is>
          <t>prepare-lead-gen-packet</t>
        </is>
      </c>
      <c r="K191" s="15" t="inlineStr">
        <is>
          <t>project_management</t>
        </is>
      </c>
    </row>
    <row r="192" ht="135" customHeight="1" s="12">
      <c r="A192" s="15" t="inlineStr"/>
      <c r="B192" s="15" t="inlineStr">
        <is>
          <t>Origination Pipeline</t>
        </is>
      </c>
      <c r="C192" s="15" t="inlineStr">
        <is>
          <t>Pipeline Management</t>
        </is>
      </c>
      <c r="D192" s="16">
        <f>HYPERLINK('Link Config'!$B$2&amp;"plugins/vc/tasks/prepare-lead-gen-packet.md","Prepare Lead Gen Packet")</f>
        <v/>
      </c>
      <c r="E192" s="15" t="inlineStr">
        <is>
          <t>Prepare Lead Gen Packet for one venture-capital opportunity with evidence capture, human review gates, and next-action recommendations.</t>
        </is>
      </c>
      <c r="F192" s="16">
        <f>HYPERLINK('Link Config'!$B$2&amp;"plugins/vc/agents/vc-origination-scout.md","Origination Scout")</f>
        <v/>
      </c>
      <c r="G192" s="16">
        <f>HYPERLINK('Link Config'!$B$2&amp;"plugins/vc/skills/citation-enforcement/SKILL.md","Citation Enforcement")</f>
        <v/>
      </c>
      <c r="H192" s="16">
        <f>HYPERLINK('Link Config'!$B$2&amp;"plugins/vc/alludium/documents/origination/origination-source-strategy-guide.md","Origination Source Strategy Guide (methodology)")</f>
        <v/>
      </c>
      <c r="I192" s="15" t="inlineStr">
        <is>
          <t>alludium-platform
harmonic-mcp-oauth
affinity-mcp-server
exa-mcp-hosted
brave-search-mcp
serpapi-mcp
firecrawl-mcp-hosted
dealroom-mcp
linkedin</t>
        </is>
      </c>
      <c r="J192" s="15" t="inlineStr">
        <is>
          <t>prepare-lead-gen-packet</t>
        </is>
      </c>
      <c r="K192" s="15" t="inlineStr">
        <is>
          <t>project_management</t>
        </is>
      </c>
    </row>
    <row r="193" ht="135" customHeight="1" s="12">
      <c r="A193" s="15" t="inlineStr"/>
      <c r="B193" s="15" t="inlineStr">
        <is>
          <t>Origination Pipeline</t>
        </is>
      </c>
      <c r="C193" s="15" t="inlineStr">
        <is>
          <t>Pipeline Management</t>
        </is>
      </c>
      <c r="D193" s="16">
        <f>HYPERLINK('Link Config'!$B$2&amp;"plugins/vc/tasks/prepare-lead-gen-packet.md","Prepare Lead Gen Packet")</f>
        <v/>
      </c>
      <c r="E193" s="15" t="inlineStr">
        <is>
          <t>Prepare Lead Gen Packet for one venture-capital opportunity with evidence capture, human review gates, and next-action recommendations.</t>
        </is>
      </c>
      <c r="F193" s="16">
        <f>HYPERLINK('Link Config'!$B$2&amp;"plugins/vc/agents/vc-origination-scout.md","Origination Scout")</f>
        <v/>
      </c>
      <c r="G193" s="15" t="inlineStr"/>
      <c r="H193" s="16">
        <f>HYPERLINK('Link Config'!$B$2&amp;"plugins/vc/alludium/documents/shared/evidence-citation-style-guide.md","Evidence And Citation Style Guide (style_guide)")</f>
        <v/>
      </c>
      <c r="I193" s="15" t="inlineStr">
        <is>
          <t>alludium-platform
harmonic-mcp-oauth
affinity-mcp-server
exa-mcp-hosted
brave-search-mcp
serpapi-mcp
firecrawl-mcp-hosted
dealroom-mcp
linkedin</t>
        </is>
      </c>
      <c r="J193" s="15" t="inlineStr">
        <is>
          <t>prepare-lead-gen-packet</t>
        </is>
      </c>
      <c r="K193" s="15" t="inlineStr">
        <is>
          <t>project_management</t>
        </is>
      </c>
    </row>
    <row r="194" ht="135" customHeight="1" s="12">
      <c r="A194" s="15" t="inlineStr"/>
      <c r="B194" s="15" t="inlineStr">
        <is>
          <t>Origination Pipeline</t>
        </is>
      </c>
      <c r="C194" s="15" t="inlineStr">
        <is>
          <t>Pipeline Management</t>
        </is>
      </c>
      <c r="D194" s="16">
        <f>HYPERLINK('Link Config'!$B$2&amp;"plugins/vc/tasks/prepare-lead-gen-packet.md","Prepare Lead Gen Packet")</f>
        <v/>
      </c>
      <c r="E194" s="15" t="inlineStr">
        <is>
          <t>Prepare Lead Gen Packet for one venture-capital opportunity with evidence capture, human review gates, and next-action recommendations.</t>
        </is>
      </c>
      <c r="F194" s="16">
        <f>HYPERLINK('Link Config'!$B$2&amp;"plugins/vc/agents/vc-origination-scout.md","Origination Scout")</f>
        <v/>
      </c>
      <c r="G194" s="15" t="inlineStr"/>
      <c r="H194" s="16">
        <f>HYPERLINK('Link Config'!$B$2&amp;"plugins/vc/alludium/documents/shared/template-use-guidance.md","Template Use Guidance (operating_guidance)")</f>
        <v/>
      </c>
      <c r="I194" s="15" t="inlineStr">
        <is>
          <t>alludium-platform
harmonic-mcp-oauth
affinity-mcp-server
exa-mcp-hosted
brave-search-mcp
serpapi-mcp
firecrawl-mcp-hosted
dealroom-mcp
linkedin</t>
        </is>
      </c>
      <c r="J194" s="15" t="inlineStr">
        <is>
          <t>prepare-lead-gen-packet</t>
        </is>
      </c>
      <c r="K194" s="15" t="inlineStr">
        <is>
          <t>project_management</t>
        </is>
      </c>
    </row>
    <row r="195" ht="18" customHeight="1" s="12">
      <c r="A195" s="15" t="inlineStr"/>
      <c r="B195" s="15" t="inlineStr">
        <is>
          <t>Origination Pipeline</t>
        </is>
      </c>
      <c r="C195" s="15" t="inlineStr">
        <is>
          <t>Integration Support</t>
        </is>
      </c>
      <c r="D195" s="16">
        <f>HYPERLINK('Link Config'!$B$2&amp;"plugins/vc/tasks/apify-sync-read.md","Preview Apify Origination Results")</f>
        <v/>
      </c>
      <c r="E195" s="15" t="inlineStr">
        <is>
          <t>Preview selected Apify actor results before using them as VC origination source context.</t>
        </is>
      </c>
      <c r="F195" s="16">
        <f>HYPERLINK('Link Config'!$B$2&amp;"plugins/vc/agents/vc-integration-operator.md","Integration Operator")</f>
        <v/>
      </c>
      <c r="G195" s="16">
        <f>HYPERLINK('Link Config'!$B$2&amp;"plugins/vc/skills/vc-apify-sync-read/SKILL.md","VC Apify Sync Read")</f>
        <v/>
      </c>
      <c r="H195" s="15" t="inlineStr">
        <is>
          <t>None declared</t>
        </is>
      </c>
      <c r="I195" s="15" t="inlineStr">
        <is>
          <t>None declared</t>
        </is>
      </c>
      <c r="J195" s="15" t="inlineStr">
        <is>
          <t>apify-sync-read</t>
        </is>
      </c>
      <c r="K195" s="15" t="inlineStr">
        <is>
          <t>project_management</t>
        </is>
      </c>
    </row>
    <row r="196" ht="18" customHeight="1" s="12">
      <c r="A196" s="15" t="inlineStr"/>
      <c r="B196" s="15" t="inlineStr">
        <is>
          <t>Origination Pipeline</t>
        </is>
      </c>
      <c r="C196" s="15" t="inlineStr">
        <is>
          <t>Integration Support</t>
        </is>
      </c>
      <c r="D196" s="16">
        <f>HYPERLINK('Link Config'!$B$2&amp;"plugins/vc/tasks/apify-sync-read.md","Preview Apify Origination Results")</f>
        <v/>
      </c>
      <c r="E196" s="15" t="inlineStr">
        <is>
          <t>Preview selected Apify actor results before using them as VC origination source context.</t>
        </is>
      </c>
      <c r="F196" s="16">
        <f>HYPERLINK('Link Config'!$B$2&amp;"plugins/vc/agents/vc-integration-operator.md","Integration Operator")</f>
        <v/>
      </c>
      <c r="G196" s="16">
        <f>HYPERLINK('Link Config'!$B$2&amp;"plugins/vc/skills/citation-enforcement/SKILL.md","Citation Enforcement")</f>
        <v/>
      </c>
      <c r="H196" s="15" t="inlineStr"/>
      <c r="I196" s="15" t="inlineStr">
        <is>
          <t>None declared</t>
        </is>
      </c>
      <c r="J196" s="15" t="inlineStr">
        <is>
          <t>apify-sync-read</t>
        </is>
      </c>
      <c r="K196" s="15" t="inlineStr">
        <is>
          <t>project_management</t>
        </is>
      </c>
    </row>
    <row r="197" ht="18" customHeight="1" s="12">
      <c r="A197" s="15" t="inlineStr"/>
      <c r="B197" s="15" t="inlineStr">
        <is>
          <t>Origination Pipeline</t>
        </is>
      </c>
      <c r="C197" s="15" t="inlineStr">
        <is>
          <t>Integration Support</t>
        </is>
      </c>
      <c r="D197" s="16">
        <f>HYPERLINK('Link Config'!$B$2&amp;"plugins/vc/tasks/companies-house-sync-read.md","Preview Companies House Public Register Results")</f>
        <v/>
      </c>
      <c r="E197" s="15" t="inlineStr">
        <is>
          <t>Preview selected Companies House public search results and company profile pages before using them as VC origination source context.</t>
        </is>
      </c>
      <c r="F197" s="16">
        <f>HYPERLINK('Link Config'!$B$2&amp;"plugins/vc/agents/vc-integration-operator.md","Integration Operator")</f>
        <v/>
      </c>
      <c r="G197" s="16">
        <f>HYPERLINK('Link Config'!$B$2&amp;"plugins/vc/skills/vc-companies-house-sync-read/SKILL.md","VC Companies House Sync Read")</f>
        <v/>
      </c>
      <c r="H197" s="15" t="inlineStr">
        <is>
          <t>None declared</t>
        </is>
      </c>
      <c r="I197" s="15" t="inlineStr">
        <is>
          <t>None declared</t>
        </is>
      </c>
      <c r="J197" s="15" t="inlineStr">
        <is>
          <t>companies-house-sync-read</t>
        </is>
      </c>
      <c r="K197" s="15" t="inlineStr">
        <is>
          <t>project_management</t>
        </is>
      </c>
    </row>
    <row r="198" ht="18" customHeight="1" s="12">
      <c r="A198" s="15" t="inlineStr"/>
      <c r="B198" s="15" t="inlineStr">
        <is>
          <t>Origination Pipeline</t>
        </is>
      </c>
      <c r="C198" s="15" t="inlineStr">
        <is>
          <t>Integration Support</t>
        </is>
      </c>
      <c r="D198" s="16">
        <f>HYPERLINK('Link Config'!$B$2&amp;"plugins/vc/tasks/companies-house-sync-read.md","Preview Companies House Public Register Results")</f>
        <v/>
      </c>
      <c r="E198" s="15" t="inlineStr">
        <is>
          <t>Preview selected Companies House public search results and company profile pages before using them as VC origination source context.</t>
        </is>
      </c>
      <c r="F198" s="16">
        <f>HYPERLINK('Link Config'!$B$2&amp;"plugins/vc/agents/vc-integration-operator.md","Integration Operator")</f>
        <v/>
      </c>
      <c r="G198" s="16">
        <f>HYPERLINK('Link Config'!$B$2&amp;"plugins/vc/skills/citation-enforcement/SKILL.md","Citation Enforcement")</f>
        <v/>
      </c>
      <c r="H198" s="15" t="inlineStr"/>
      <c r="I198" s="15" t="inlineStr">
        <is>
          <t>None declared</t>
        </is>
      </c>
      <c r="J198" s="15" t="inlineStr">
        <is>
          <t>companies-house-sync-read</t>
        </is>
      </c>
      <c r="K198" s="15" t="inlineStr">
        <is>
          <t>project_management</t>
        </is>
      </c>
    </row>
    <row r="199" ht="18" customHeight="1" s="12">
      <c r="A199" s="15" t="inlineStr">
        <is>
          <t>Jay</t>
        </is>
      </c>
      <c r="B199" s="15" t="inlineStr">
        <is>
          <t>Origination Pipeline</t>
        </is>
      </c>
      <c r="C199" s="15" t="inlineStr">
        <is>
          <t>Source</t>
        </is>
      </c>
      <c r="D199" s="16">
        <f>HYPERLINK('Link Config'!$B$2&amp;"plugins/vc/tasks/run-sourcing-pipeline.md","Run VC Sourcing Pipeline")</f>
        <v/>
      </c>
      <c r="E199" s="15" t="inlineStr">
        <is>
          <t>Orchestrate one VC origination sourcing pass across approved sources with source-state receipts, cost gates, and human approval boundaries.</t>
        </is>
      </c>
      <c r="F199" s="16">
        <f>HYPERLINK('Link Config'!$B$2&amp;"plugins/vc/agents/vc-sourcing-operator.md","Sourcing Operator")</f>
        <v/>
      </c>
      <c r="G199" s="16">
        <f>HYPERLINK('Link Config'!$B$2&amp;"plugins/vc/skills/vc-origination-pipeline-orchestration/SKILL.md","Origination Pipeline Orchestration")</f>
        <v/>
      </c>
      <c r="H199" s="16">
        <f>HYPERLINK('Link Config'!$B$2&amp;"plugins/vc/alludium/documents/origination/candidate-batch-template.md","Candidate Batch Template (output_template, to candidate_batch_artifact_id)")</f>
        <v/>
      </c>
      <c r="I199" s="15" t="inlineStr">
        <is>
          <t>None declared</t>
        </is>
      </c>
      <c r="J199" s="15" t="inlineStr">
        <is>
          <t>run-sourcing-pipeline</t>
        </is>
      </c>
      <c r="K199" s="15" t="inlineStr">
        <is>
          <t>project_instance</t>
        </is>
      </c>
    </row>
    <row r="200" ht="18" customHeight="1" s="12">
      <c r="A200" s="15" t="inlineStr">
        <is>
          <t>Jay</t>
        </is>
      </c>
      <c r="B200" s="15" t="inlineStr">
        <is>
          <t>Origination Pipeline</t>
        </is>
      </c>
      <c r="C200" s="15" t="inlineStr">
        <is>
          <t>Source</t>
        </is>
      </c>
      <c r="D200" s="16">
        <f>HYPERLINK('Link Config'!$B$2&amp;"plugins/vc/tasks/run-sourcing-pipeline.md","Run VC Sourcing Pipeline")</f>
        <v/>
      </c>
      <c r="E200" s="15" t="inlineStr">
        <is>
          <t>Orchestrate one VC origination sourcing pass across approved sources with source-state receipts, cost gates, and human approval boundaries.</t>
        </is>
      </c>
      <c r="F200" s="16">
        <f>HYPERLINK('Link Config'!$B$2&amp;"plugins/vc/agents/vc-sourcing-operator.md","Sourcing Operator")</f>
        <v/>
      </c>
      <c r="G200" s="16">
        <f>HYPERLINK('Link Config'!$B$2&amp;"plugins/vc/skills/vc-source-registry-and-state-management/SKILL.md","VC Source Registry &amp; State Management")</f>
        <v/>
      </c>
      <c r="H200" s="16">
        <f>HYPERLINK('Link Config'!$B$2&amp;"plugins/vc/alludium/documents/origination/origination-pipeline-sop.md","Origination Pipeline Operating SOP (operating_guidance)")</f>
        <v/>
      </c>
      <c r="I200" s="15" t="inlineStr">
        <is>
          <t>None declared</t>
        </is>
      </c>
      <c r="J200" s="15" t="inlineStr">
        <is>
          <t>run-sourcing-pipeline</t>
        </is>
      </c>
      <c r="K200" s="15" t="inlineStr">
        <is>
          <t>project_instance</t>
        </is>
      </c>
    </row>
    <row r="201" ht="18" customHeight="1" s="12">
      <c r="A201" s="15" t="inlineStr">
        <is>
          <t>Jay</t>
        </is>
      </c>
      <c r="B201" s="15" t="inlineStr">
        <is>
          <t>Origination Pipeline</t>
        </is>
      </c>
      <c r="C201" s="15" t="inlineStr">
        <is>
          <t>Source</t>
        </is>
      </c>
      <c r="D201" s="16">
        <f>HYPERLINK('Link Config'!$B$2&amp;"plugins/vc/tasks/run-sourcing-pipeline.md","Run VC Sourcing Pipeline")</f>
        <v/>
      </c>
      <c r="E201" s="15" t="inlineStr">
        <is>
          <t>Orchestrate one VC origination sourcing pass across approved sources with source-state receipts, cost gates, and human approval boundaries.</t>
        </is>
      </c>
      <c r="F201" s="16">
        <f>HYPERLINK('Link Config'!$B$2&amp;"plugins/vc/agents/vc-sourcing-operator.md","Sourcing Operator")</f>
        <v/>
      </c>
      <c r="G201" s="16">
        <f>HYPERLINK('Link Config'!$B$2&amp;"plugins/vc/skills/citation-enforcement/SKILL.md","Citation Enforcement")</f>
        <v/>
      </c>
      <c r="H201" s="16">
        <f>HYPERLINK('Link Config'!$B$2&amp;"plugins/vc/alludium/documents/origination/origination-source-strategy-guide.md","Origination Source Strategy Guide (methodology)")</f>
        <v/>
      </c>
      <c r="I201" s="15" t="inlineStr">
        <is>
          <t>None declared</t>
        </is>
      </c>
      <c r="J201" s="15" t="inlineStr">
        <is>
          <t>run-sourcing-pipeline</t>
        </is>
      </c>
      <c r="K201" s="15" t="inlineStr">
        <is>
          <t>project_instance</t>
        </is>
      </c>
    </row>
    <row r="202" ht="18" customHeight="1" s="12">
      <c r="A202" s="15" t="inlineStr">
        <is>
          <t>Jay</t>
        </is>
      </c>
      <c r="B202" s="15" t="inlineStr">
        <is>
          <t>Origination Pipeline</t>
        </is>
      </c>
      <c r="C202" s="15" t="inlineStr">
        <is>
          <t>Source</t>
        </is>
      </c>
      <c r="D202" s="16">
        <f>HYPERLINK('Link Config'!$B$2&amp;"plugins/vc/tasks/run-sourcing-pipeline.md","Run VC Sourcing Pipeline")</f>
        <v/>
      </c>
      <c r="E202" s="15" t="inlineStr">
        <is>
          <t>Orchestrate one VC origination sourcing pass across approved sources with source-state receipts, cost gates, and human approval boundaries.</t>
        </is>
      </c>
      <c r="F202" s="16">
        <f>HYPERLINK('Link Config'!$B$2&amp;"plugins/vc/agents/vc-sourcing-operator.md","Sourcing Operator")</f>
        <v/>
      </c>
      <c r="G202" s="15" t="inlineStr"/>
      <c r="H202" s="16">
        <f>HYPERLINK('Link Config'!$B$2&amp;"plugins/vc/alludium/documents/shared/template-use-guidance.md","Template Use Guidance (operating_guidance)")</f>
        <v/>
      </c>
      <c r="I202" s="15" t="inlineStr">
        <is>
          <t>None declared</t>
        </is>
      </c>
      <c r="J202" s="15" t="inlineStr">
        <is>
          <t>run-sourcing-pipeline</t>
        </is>
      </c>
      <c r="K202" s="15" t="inlineStr">
        <is>
          <t>project_instance</t>
        </is>
      </c>
    </row>
    <row r="203" ht="18" customHeight="1" s="12">
      <c r="A203" s="15" t="inlineStr">
        <is>
          <t>Jay</t>
        </is>
      </c>
      <c r="B203" s="15" t="inlineStr">
        <is>
          <t>Origination Pipeline</t>
        </is>
      </c>
      <c r="C203" s="15" t="inlineStr">
        <is>
          <t>Source</t>
        </is>
      </c>
      <c r="D203" s="16">
        <f>HYPERLINK('Link Config'!$B$2&amp;"plugins/vc/tasks/discover-companies-house-candidates.md","Discover Companies House Candidates")</f>
        <v/>
      </c>
      <c r="E203" s="15" t="inlineStr">
        <is>
          <t>Discover UK company candidates from approved Companies House public-register pages using reference-pipeline scoring and dedupe patterns.</t>
        </is>
      </c>
      <c r="F203" s="16">
        <f>HYPERLINK('Link Config'!$B$2&amp;"plugins/vc/agents/vc-sourcing-operator.md","Sourcing Operator")</f>
        <v/>
      </c>
      <c r="G203" s="16">
        <f>HYPERLINK('Link Config'!$B$2&amp;"plugins/vc/skills/vc-companies-house-sourcing/SKILL.md","VC Companies House Sourcing")</f>
        <v/>
      </c>
      <c r="H203" s="15" t="inlineStr">
        <is>
          <t>None declared</t>
        </is>
      </c>
      <c r="I203" s="15" t="inlineStr">
        <is>
          <t>None declared</t>
        </is>
      </c>
      <c r="J203" s="15" t="inlineStr">
        <is>
          <t>discover-companies-house-candidates</t>
        </is>
      </c>
      <c r="K203" s="15" t="inlineStr">
        <is>
          <t>project_instance</t>
        </is>
      </c>
    </row>
    <row r="204" ht="18" customHeight="1" s="12">
      <c r="A204" s="15" t="inlineStr">
        <is>
          <t>Jay</t>
        </is>
      </c>
      <c r="B204" s="15" t="inlineStr">
        <is>
          <t>Origination Pipeline</t>
        </is>
      </c>
      <c r="C204" s="15" t="inlineStr">
        <is>
          <t>Source</t>
        </is>
      </c>
      <c r="D204" s="16">
        <f>HYPERLINK('Link Config'!$B$2&amp;"plugins/vc/tasks/discover-companies-house-candidates.md","Discover Companies House Candidates")</f>
        <v/>
      </c>
      <c r="E204" s="15" t="inlineStr">
        <is>
          <t>Discover UK company candidates from approved Companies House public-register pages using reference-pipeline scoring and dedupe patterns.</t>
        </is>
      </c>
      <c r="F204" s="16">
        <f>HYPERLINK('Link Config'!$B$2&amp;"plugins/vc/agents/vc-sourcing-operator.md","Sourcing Operator")</f>
        <v/>
      </c>
      <c r="G204" s="16">
        <f>HYPERLINK('Link Config'!$B$2&amp;"plugins/vc/skills/vc-source-registry-and-state-management/SKILL.md","VC Source Registry &amp; State Management")</f>
        <v/>
      </c>
      <c r="H204" s="15" t="inlineStr"/>
      <c r="I204" s="15" t="inlineStr">
        <is>
          <t>None declared</t>
        </is>
      </c>
      <c r="J204" s="15" t="inlineStr">
        <is>
          <t>discover-companies-house-candidates</t>
        </is>
      </c>
      <c r="K204" s="15" t="inlineStr">
        <is>
          <t>project_instance</t>
        </is>
      </c>
    </row>
    <row r="205" ht="18" customHeight="1" s="12">
      <c r="A205" s="15" t="inlineStr">
        <is>
          <t>Jay</t>
        </is>
      </c>
      <c r="B205" s="15" t="inlineStr">
        <is>
          <t>Origination Pipeline</t>
        </is>
      </c>
      <c r="C205" s="15" t="inlineStr">
        <is>
          <t>Source</t>
        </is>
      </c>
      <c r="D205" s="16">
        <f>HYPERLINK('Link Config'!$B$2&amp;"plugins/vc/tasks/discover-companies-house-candidates.md","Discover Companies House Candidates")</f>
        <v/>
      </c>
      <c r="E205" s="15" t="inlineStr">
        <is>
          <t>Discover UK company candidates from approved Companies House public-register pages using reference-pipeline scoring and dedupe patterns.</t>
        </is>
      </c>
      <c r="F205" s="16">
        <f>HYPERLINK('Link Config'!$B$2&amp;"plugins/vc/agents/vc-sourcing-operator.md","Sourcing Operator")</f>
        <v/>
      </c>
      <c r="G205" s="16">
        <f>HYPERLINK('Link Config'!$B$2&amp;"plugins/vc/skills/citation-enforcement/SKILL.md","Citation Enforcement")</f>
        <v/>
      </c>
      <c r="H205" s="15" t="inlineStr"/>
      <c r="I205" s="15" t="inlineStr">
        <is>
          <t>None declared</t>
        </is>
      </c>
      <c r="J205" s="15" t="inlineStr">
        <is>
          <t>discover-companies-house-candidates</t>
        </is>
      </c>
      <c r="K205" s="15" t="inlineStr">
        <is>
          <t>project_instance</t>
        </is>
      </c>
    </row>
    <row r="206" ht="18" customHeight="1" s="12">
      <c r="A206" s="15" t="inlineStr">
        <is>
          <t>Jay</t>
        </is>
      </c>
      <c r="B206" s="15" t="inlineStr">
        <is>
          <t>Origination Pipeline</t>
        </is>
      </c>
      <c r="C206" s="15" t="inlineStr">
        <is>
          <t>Source</t>
        </is>
      </c>
      <c r="D206" s="16">
        <f>HYPERLINK('Link Config'!$B$2&amp;"plugins/vc/tasks/discover-linkedin-founders.md","Discover LinkedIn Founder Candidates")</f>
        <v/>
      </c>
      <c r="E206" s="15" t="inlineStr">
        <is>
          <t>Find early UK/Ireland AI founder and company candidates through approved Apify LinkedIn actor tracks.</t>
        </is>
      </c>
      <c r="F206" s="16">
        <f>HYPERLINK('Link Config'!$B$2&amp;"plugins/vc/agents/vc-sourcing-operator.md","Sourcing Operator")</f>
        <v/>
      </c>
      <c r="G206" s="16">
        <f>HYPERLINK('Link Config'!$B$2&amp;"plugins/vc/skills/vc-apify-linkedin-founder-discovery/SKILL.md","VC Apify LinkedIn Founder Discovery")</f>
        <v/>
      </c>
      <c r="H206" s="15" t="inlineStr">
        <is>
          <t>None declared</t>
        </is>
      </c>
      <c r="I206" s="15" t="inlineStr">
        <is>
          <t>None declared</t>
        </is>
      </c>
      <c r="J206" s="15" t="inlineStr">
        <is>
          <t>discover-linkedin-founders</t>
        </is>
      </c>
      <c r="K206" s="15" t="inlineStr">
        <is>
          <t>project_instance</t>
        </is>
      </c>
    </row>
    <row r="207" ht="18" customHeight="1" s="12">
      <c r="A207" s="15" t="inlineStr">
        <is>
          <t>Jay</t>
        </is>
      </c>
      <c r="B207" s="15" t="inlineStr">
        <is>
          <t>Origination Pipeline</t>
        </is>
      </c>
      <c r="C207" s="15" t="inlineStr">
        <is>
          <t>Source</t>
        </is>
      </c>
      <c r="D207" s="16">
        <f>HYPERLINK('Link Config'!$B$2&amp;"plugins/vc/tasks/discover-linkedin-founders.md","Discover LinkedIn Founder Candidates")</f>
        <v/>
      </c>
      <c r="E207" s="15" t="inlineStr">
        <is>
          <t>Find early UK/Ireland AI founder and company candidates through approved Apify LinkedIn actor tracks.</t>
        </is>
      </c>
      <c r="F207" s="16">
        <f>HYPERLINK('Link Config'!$B$2&amp;"plugins/vc/agents/vc-sourcing-operator.md","Sourcing Operator")</f>
        <v/>
      </c>
      <c r="G207" s="16">
        <f>HYPERLINK('Link Config'!$B$2&amp;"plugins/vc/skills/vc-source-registry-and-state-management/SKILL.md","VC Source Registry &amp; State Management")</f>
        <v/>
      </c>
      <c r="H207" s="15" t="inlineStr"/>
      <c r="I207" s="15" t="inlineStr">
        <is>
          <t>None declared</t>
        </is>
      </c>
      <c r="J207" s="15" t="inlineStr">
        <is>
          <t>discover-linkedin-founders</t>
        </is>
      </c>
      <c r="K207" s="15" t="inlineStr">
        <is>
          <t>project_instance</t>
        </is>
      </c>
    </row>
    <row r="208" ht="18" customHeight="1" s="12">
      <c r="A208" s="15" t="inlineStr">
        <is>
          <t>Jay</t>
        </is>
      </c>
      <c r="B208" s="15" t="inlineStr">
        <is>
          <t>Origination Pipeline</t>
        </is>
      </c>
      <c r="C208" s="15" t="inlineStr">
        <is>
          <t>Source</t>
        </is>
      </c>
      <c r="D208" s="16">
        <f>HYPERLINK('Link Config'!$B$2&amp;"plugins/vc/tasks/discover-linkedin-founders.md","Discover LinkedIn Founder Candidates")</f>
        <v/>
      </c>
      <c r="E208" s="15" t="inlineStr">
        <is>
          <t>Find early UK/Ireland AI founder and company candidates through approved Apify LinkedIn actor tracks.</t>
        </is>
      </c>
      <c r="F208" s="16">
        <f>HYPERLINK('Link Config'!$B$2&amp;"plugins/vc/agents/vc-sourcing-operator.md","Sourcing Operator")</f>
        <v/>
      </c>
      <c r="G208" s="16">
        <f>HYPERLINK('Link Config'!$B$2&amp;"plugins/vc/skills/citation-enforcement/SKILL.md","Citation Enforcement")</f>
        <v/>
      </c>
      <c r="H208" s="15" t="inlineStr"/>
      <c r="I208" s="15" t="inlineStr">
        <is>
          <t>None declared</t>
        </is>
      </c>
      <c r="J208" s="15" t="inlineStr">
        <is>
          <t>discover-linkedin-founders</t>
        </is>
      </c>
      <c r="K208" s="15" t="inlineStr">
        <is>
          <t>project_instance</t>
        </is>
      </c>
    </row>
    <row r="209" ht="18" customHeight="1" s="12">
      <c r="A209" s="15" t="inlineStr">
        <is>
          <t>Jay</t>
        </is>
      </c>
      <c r="B209" s="15" t="inlineStr">
        <is>
          <t>Origination Pipeline</t>
        </is>
      </c>
      <c r="C209" s="15" t="inlineStr">
        <is>
          <t>Source</t>
        </is>
      </c>
      <c r="D209" s="16">
        <f>HYPERLINK('Link Config'!$B$2&amp;"plugins/vc/tasks/discover-x-founder-signals.md","Discover X Founder Signals")</f>
        <v/>
      </c>
      <c r="E209" s="15" t="inlineStr">
        <is>
          <t>Find public founder/product/building signals on X through approved Apify tweet-search actors.</t>
        </is>
      </c>
      <c r="F209" s="16">
        <f>HYPERLINK('Link Config'!$B$2&amp;"plugins/vc/agents/vc-sourcing-operator.md","Sourcing Operator")</f>
        <v/>
      </c>
      <c r="G209" s="16">
        <f>HYPERLINK('Link Config'!$B$2&amp;"plugins/vc/skills/vc-apify-x-founder-discovery/SKILL.md","VC Apify X Founder Discovery")</f>
        <v/>
      </c>
      <c r="H209" s="15" t="inlineStr">
        <is>
          <t>None declared</t>
        </is>
      </c>
      <c r="I209" s="15" t="inlineStr">
        <is>
          <t>None declared</t>
        </is>
      </c>
      <c r="J209" s="15" t="inlineStr">
        <is>
          <t>discover-x-founder-signals</t>
        </is>
      </c>
      <c r="K209" s="15" t="inlineStr">
        <is>
          <t>project_instance</t>
        </is>
      </c>
    </row>
    <row r="210" ht="18" customHeight="1" s="12">
      <c r="A210" s="15" t="inlineStr">
        <is>
          <t>Jay</t>
        </is>
      </c>
      <c r="B210" s="15" t="inlineStr">
        <is>
          <t>Origination Pipeline</t>
        </is>
      </c>
      <c r="C210" s="15" t="inlineStr">
        <is>
          <t>Source</t>
        </is>
      </c>
      <c r="D210" s="16">
        <f>HYPERLINK('Link Config'!$B$2&amp;"plugins/vc/tasks/discover-x-founder-signals.md","Discover X Founder Signals")</f>
        <v/>
      </c>
      <c r="E210" s="15" t="inlineStr">
        <is>
          <t>Find public founder/product/building signals on X through approved Apify tweet-search actors.</t>
        </is>
      </c>
      <c r="F210" s="16">
        <f>HYPERLINK('Link Config'!$B$2&amp;"plugins/vc/agents/vc-sourcing-operator.md","Sourcing Operator")</f>
        <v/>
      </c>
      <c r="G210" s="16">
        <f>HYPERLINK('Link Config'!$B$2&amp;"plugins/vc/skills/vc-source-registry-and-state-management/SKILL.md","VC Source Registry &amp; State Management")</f>
        <v/>
      </c>
      <c r="H210" s="15" t="inlineStr"/>
      <c r="I210" s="15" t="inlineStr">
        <is>
          <t>None declared</t>
        </is>
      </c>
      <c r="J210" s="15" t="inlineStr">
        <is>
          <t>discover-x-founder-signals</t>
        </is>
      </c>
      <c r="K210" s="15" t="inlineStr">
        <is>
          <t>project_instance</t>
        </is>
      </c>
    </row>
    <row r="211" ht="18" customHeight="1" s="12">
      <c r="A211" s="15" t="inlineStr">
        <is>
          <t>Jay</t>
        </is>
      </c>
      <c r="B211" s="15" t="inlineStr">
        <is>
          <t>Origination Pipeline</t>
        </is>
      </c>
      <c r="C211" s="15" t="inlineStr">
        <is>
          <t>Source</t>
        </is>
      </c>
      <c r="D211" s="16">
        <f>HYPERLINK('Link Config'!$B$2&amp;"plugins/vc/tasks/discover-x-founder-signals.md","Discover X Founder Signals")</f>
        <v/>
      </c>
      <c r="E211" s="15" t="inlineStr">
        <is>
          <t>Find public founder/product/building signals on X through approved Apify tweet-search actors.</t>
        </is>
      </c>
      <c r="F211" s="16">
        <f>HYPERLINK('Link Config'!$B$2&amp;"plugins/vc/agents/vc-sourcing-operator.md","Sourcing Operator")</f>
        <v/>
      </c>
      <c r="G211" s="16">
        <f>HYPERLINK('Link Config'!$B$2&amp;"plugins/vc/skills/citation-enforcement/SKILL.md","Citation Enforcement")</f>
        <v/>
      </c>
      <c r="H211" s="15" t="inlineStr"/>
      <c r="I211" s="15" t="inlineStr">
        <is>
          <t>None declared</t>
        </is>
      </c>
      <c r="J211" s="15" t="inlineStr">
        <is>
          <t>discover-x-founder-signals</t>
        </is>
      </c>
      <c r="K211" s="15" t="inlineStr">
        <is>
          <t>project_instance</t>
        </is>
      </c>
    </row>
    <row r="212" ht="18" customHeight="1" s="12">
      <c r="A212" s="15" t="inlineStr">
        <is>
          <t>Jay</t>
        </is>
      </c>
      <c r="B212" s="15" t="inlineStr">
        <is>
          <t>Origination Pipeline</t>
        </is>
      </c>
      <c r="C212" s="15" t="inlineStr">
        <is>
          <t>Source</t>
        </is>
      </c>
      <c r="D212" s="16">
        <f>HYPERLINK('Link Config'!$B$2&amp;"plugins/vc/tasks/discover-github-builder-signals.md","Discover GitHub Builder Signals")</f>
        <v/>
      </c>
      <c r="E212" s="15" t="inlineStr">
        <is>
          <t>Discover UK/Ireland technical-founder and AI repository signals using the reference pipeline's two-pass GitHub model.</t>
        </is>
      </c>
      <c r="F212" s="16">
        <f>HYPERLINK('Link Config'!$B$2&amp;"plugins/vc/agents/vc-sourcing-operator.md","Sourcing Operator")</f>
        <v/>
      </c>
      <c r="G212" s="16">
        <f>HYPERLINK('Link Config'!$B$2&amp;"plugins/vc/skills/vc-github-builder-signal-discovery/SKILL.md","VC GitHub Builder Signal Discovery")</f>
        <v/>
      </c>
      <c r="H212" s="15" t="inlineStr">
        <is>
          <t>None declared</t>
        </is>
      </c>
      <c r="I212" s="15" t="inlineStr">
        <is>
          <t>None declared</t>
        </is>
      </c>
      <c r="J212" s="15" t="inlineStr">
        <is>
          <t>discover-github-builder-signals</t>
        </is>
      </c>
      <c r="K212" s="15" t="inlineStr">
        <is>
          <t>project_instance</t>
        </is>
      </c>
    </row>
    <row r="213" ht="18" customHeight="1" s="12">
      <c r="A213" s="15" t="inlineStr">
        <is>
          <t>Jay</t>
        </is>
      </c>
      <c r="B213" s="15" t="inlineStr">
        <is>
          <t>Origination Pipeline</t>
        </is>
      </c>
      <c r="C213" s="15" t="inlineStr">
        <is>
          <t>Source</t>
        </is>
      </c>
      <c r="D213" s="16">
        <f>HYPERLINK('Link Config'!$B$2&amp;"plugins/vc/tasks/discover-github-builder-signals.md","Discover GitHub Builder Signals")</f>
        <v/>
      </c>
      <c r="E213" s="15" t="inlineStr">
        <is>
          <t>Discover UK/Ireland technical-founder and AI repository signals using the reference pipeline's two-pass GitHub model.</t>
        </is>
      </c>
      <c r="F213" s="16">
        <f>HYPERLINK('Link Config'!$B$2&amp;"plugins/vc/agents/vc-sourcing-operator.md","Sourcing Operator")</f>
        <v/>
      </c>
      <c r="G213" s="16">
        <f>HYPERLINK('Link Config'!$B$2&amp;"plugins/vc/skills/vc-source-registry-and-state-management/SKILL.md","VC Source Registry &amp; State Management")</f>
        <v/>
      </c>
      <c r="H213" s="15" t="inlineStr"/>
      <c r="I213" s="15" t="inlineStr">
        <is>
          <t>None declared</t>
        </is>
      </c>
      <c r="J213" s="15" t="inlineStr">
        <is>
          <t>discover-github-builder-signals</t>
        </is>
      </c>
      <c r="K213" s="15" t="inlineStr">
        <is>
          <t>project_instance</t>
        </is>
      </c>
    </row>
    <row r="214" ht="18" customHeight="1" s="12">
      <c r="A214" s="15" t="inlineStr">
        <is>
          <t>Jay</t>
        </is>
      </c>
      <c r="B214" s="15" t="inlineStr">
        <is>
          <t>Origination Pipeline</t>
        </is>
      </c>
      <c r="C214" s="15" t="inlineStr">
        <is>
          <t>Source</t>
        </is>
      </c>
      <c r="D214" s="16">
        <f>HYPERLINK('Link Config'!$B$2&amp;"plugins/vc/tasks/discover-github-builder-signals.md","Discover GitHub Builder Signals")</f>
        <v/>
      </c>
      <c r="E214" s="15" t="inlineStr">
        <is>
          <t>Discover UK/Ireland technical-founder and AI repository signals using the reference pipeline's two-pass GitHub model.</t>
        </is>
      </c>
      <c r="F214" s="16">
        <f>HYPERLINK('Link Config'!$B$2&amp;"plugins/vc/agents/vc-sourcing-operator.md","Sourcing Operator")</f>
        <v/>
      </c>
      <c r="G214" s="16">
        <f>HYPERLINK('Link Config'!$B$2&amp;"plugins/vc/skills/citation-enforcement/SKILL.md","Citation Enforcement")</f>
        <v/>
      </c>
      <c r="H214" s="15" t="inlineStr"/>
      <c r="I214" s="15" t="inlineStr">
        <is>
          <t>None declared</t>
        </is>
      </c>
      <c r="J214" s="15" t="inlineStr">
        <is>
          <t>discover-github-builder-signals</t>
        </is>
      </c>
      <c r="K214" s="15" t="inlineStr">
        <is>
          <t>project_instance</t>
        </is>
      </c>
    </row>
    <row r="215" ht="18" customHeight="1" s="12">
      <c r="A215" s="15" t="inlineStr">
        <is>
          <t>Jay</t>
        </is>
      </c>
      <c r="B215" s="15" t="inlineStr">
        <is>
          <t>Origination Pipeline</t>
        </is>
      </c>
      <c r="C215" s="15" t="inlineStr">
        <is>
          <t>Source</t>
        </is>
      </c>
      <c r="D215" s="16">
        <f>HYPERLINK('Link Config'!$B$2&amp;"plugins/vc/tasks/discover-reddit-builder-signals.md","Discover Reddit Builder Signals")</f>
        <v/>
      </c>
      <c r="E215" s="15" t="inlineStr">
        <is>
          <t>Discover public Reddit builder posts that may indicate early AI startup candidates.</t>
        </is>
      </c>
      <c r="F215" s="16">
        <f>HYPERLINK('Link Config'!$B$2&amp;"plugins/vc/agents/vc-sourcing-operator.md","Sourcing Operator")</f>
        <v/>
      </c>
      <c r="G215" s="16">
        <f>HYPERLINK('Link Config'!$B$2&amp;"plugins/vc/skills/vc-reddit-builder-signal-discovery/SKILL.md","VC Reddit Builder Signal Discovery")</f>
        <v/>
      </c>
      <c r="H215" s="15" t="inlineStr">
        <is>
          <t>None declared</t>
        </is>
      </c>
      <c r="I215" s="15" t="inlineStr">
        <is>
          <t>None declared</t>
        </is>
      </c>
      <c r="J215" s="15" t="inlineStr">
        <is>
          <t>discover-reddit-builder-signals</t>
        </is>
      </c>
      <c r="K215" s="15" t="inlineStr">
        <is>
          <t>project_instance</t>
        </is>
      </c>
    </row>
    <row r="216" ht="18" customHeight="1" s="12">
      <c r="A216" s="15" t="inlineStr">
        <is>
          <t>Jay</t>
        </is>
      </c>
      <c r="B216" s="15" t="inlineStr">
        <is>
          <t>Origination Pipeline</t>
        </is>
      </c>
      <c r="C216" s="15" t="inlineStr">
        <is>
          <t>Source</t>
        </is>
      </c>
      <c r="D216" s="16">
        <f>HYPERLINK('Link Config'!$B$2&amp;"plugins/vc/tasks/discover-reddit-builder-signals.md","Discover Reddit Builder Signals")</f>
        <v/>
      </c>
      <c r="E216" s="15" t="inlineStr">
        <is>
          <t>Discover public Reddit builder posts that may indicate early AI startup candidates.</t>
        </is>
      </c>
      <c r="F216" s="16">
        <f>HYPERLINK('Link Config'!$B$2&amp;"plugins/vc/agents/vc-sourcing-operator.md","Sourcing Operator")</f>
        <v/>
      </c>
      <c r="G216" s="16">
        <f>HYPERLINK('Link Config'!$B$2&amp;"plugins/vc/skills/vc-source-registry-and-state-management/SKILL.md","VC Source Registry &amp; State Management")</f>
        <v/>
      </c>
      <c r="H216" s="15" t="inlineStr"/>
      <c r="I216" s="15" t="inlineStr">
        <is>
          <t>None declared</t>
        </is>
      </c>
      <c r="J216" s="15" t="inlineStr">
        <is>
          <t>discover-reddit-builder-signals</t>
        </is>
      </c>
      <c r="K216" s="15" t="inlineStr">
        <is>
          <t>project_instance</t>
        </is>
      </c>
    </row>
    <row r="217" ht="18" customHeight="1" s="12">
      <c r="A217" s="15" t="inlineStr">
        <is>
          <t>Jay</t>
        </is>
      </c>
      <c r="B217" s="15" t="inlineStr">
        <is>
          <t>Origination Pipeline</t>
        </is>
      </c>
      <c r="C217" s="15" t="inlineStr">
        <is>
          <t>Source</t>
        </is>
      </c>
      <c r="D217" s="16">
        <f>HYPERLINK('Link Config'!$B$2&amp;"plugins/vc/tasks/discover-reddit-builder-signals.md","Discover Reddit Builder Signals")</f>
        <v/>
      </c>
      <c r="E217" s="15" t="inlineStr">
        <is>
          <t>Discover public Reddit builder posts that may indicate early AI startup candidates.</t>
        </is>
      </c>
      <c r="F217" s="16">
        <f>HYPERLINK('Link Config'!$B$2&amp;"plugins/vc/agents/vc-sourcing-operator.md","Sourcing Operator")</f>
        <v/>
      </c>
      <c r="G217" s="16">
        <f>HYPERLINK('Link Config'!$B$2&amp;"plugins/vc/skills/citation-enforcement/SKILL.md","Citation Enforcement")</f>
        <v/>
      </c>
      <c r="H217" s="15" t="inlineStr"/>
      <c r="I217" s="15" t="inlineStr">
        <is>
          <t>None declared</t>
        </is>
      </c>
      <c r="J217" s="15" t="inlineStr">
        <is>
          <t>discover-reddit-builder-signals</t>
        </is>
      </c>
      <c r="K217" s="15" t="inlineStr">
        <is>
          <t>project_instance</t>
        </is>
      </c>
    </row>
    <row r="218" ht="18" customHeight="1" s="12">
      <c r="A218" s="15" t="inlineStr">
        <is>
          <t>Jay</t>
        </is>
      </c>
      <c r="B218" s="15" t="inlineStr">
        <is>
          <t>Origination Pipeline</t>
        </is>
      </c>
      <c r="C218" s="15" t="inlineStr">
        <is>
          <t>Source</t>
        </is>
      </c>
      <c r="D218" s="16">
        <f>HYPERLINK('Link Config'!$B$2&amp;"plugins/vc/tasks/generate-sourcing-digest.md","Generate Sourcing Digest")</f>
        <v/>
      </c>
      <c r="E218" s="15" t="inlineStr">
        <is>
          <t>Generate a daily or weekly origination digest with candidates, run receipts, degraded sources, and pending approvals.</t>
        </is>
      </c>
      <c r="F218" s="16">
        <f>HYPERLINK('Link Config'!$B$2&amp;"plugins/vc/agents/vc-sourcing-operator.md","Sourcing Operator")</f>
        <v/>
      </c>
      <c r="G218" s="16">
        <f>HYPERLINK('Link Config'!$B$2&amp;"plugins/vc/skills/vc-sourcing-digest-generation/SKILL.md","VC Sourcing Digest Generation")</f>
        <v/>
      </c>
      <c r="H218" s="16">
        <f>HYPERLINK('Link Config'!$B$2&amp;"plugins/vc/alludium/documents/origination/sourcing-digest-template.md","Sourcing Digest Template (output_template, to sourcing_digest_artifact_id)")</f>
        <v/>
      </c>
      <c r="I218" s="15" t="inlineStr">
        <is>
          <t>None declared</t>
        </is>
      </c>
      <c r="J218" s="15" t="inlineStr">
        <is>
          <t>generate-sourcing-digest</t>
        </is>
      </c>
      <c r="K218" s="15" t="inlineStr">
        <is>
          <t>project_instance</t>
        </is>
      </c>
    </row>
    <row r="219" ht="18" customHeight="1" s="12">
      <c r="A219" s="15" t="inlineStr">
        <is>
          <t>Jay</t>
        </is>
      </c>
      <c r="B219" s="15" t="inlineStr">
        <is>
          <t>Origination Pipeline</t>
        </is>
      </c>
      <c r="C219" s="15" t="inlineStr">
        <is>
          <t>Source</t>
        </is>
      </c>
      <c r="D219" s="16">
        <f>HYPERLINK('Link Config'!$B$2&amp;"plugins/vc/tasks/generate-sourcing-digest.md","Generate Sourcing Digest")</f>
        <v/>
      </c>
      <c r="E219" s="15" t="inlineStr">
        <is>
          <t>Generate a daily or weekly origination digest with candidates, run receipts, degraded sources, and pending approvals.</t>
        </is>
      </c>
      <c r="F219" s="16">
        <f>HYPERLINK('Link Config'!$B$2&amp;"plugins/vc/agents/vc-sourcing-operator.md","Sourcing Operator")</f>
        <v/>
      </c>
      <c r="G219" s="16">
        <f>HYPERLINK('Link Config'!$B$2&amp;"plugins/vc/skills/citation-enforcement/SKILL.md","Citation Enforcement")</f>
        <v/>
      </c>
      <c r="H219" s="16">
        <f>HYPERLINK('Link Config'!$B$2&amp;"plugins/vc/alludium/documents/shared/template-use-guidance.md","Template Use Guidance (operating_guidance)")</f>
        <v/>
      </c>
      <c r="I219" s="15" t="inlineStr">
        <is>
          <t>None declared</t>
        </is>
      </c>
      <c r="J219" s="15" t="inlineStr">
        <is>
          <t>generate-sourcing-digest</t>
        </is>
      </c>
      <c r="K219" s="15" t="inlineStr">
        <is>
          <t>project_instance</t>
        </is>
      </c>
    </row>
    <row r="220" ht="18" customHeight="1" s="12">
      <c r="A220" s="15" t="inlineStr">
        <is>
          <t>Jay</t>
        </is>
      </c>
      <c r="B220" s="15" t="inlineStr">
        <is>
          <t>Origination Pipeline</t>
        </is>
      </c>
      <c r="C220" s="15" t="inlineStr">
        <is>
          <t>Source</t>
        </is>
      </c>
      <c r="D220" s="16">
        <f>HYPERLINK('Link Config'!$B$2&amp;"plugins/vc/tasks/audit-linkedin-query-spend.md","Audit LinkedIn Query Spend")</f>
        <v/>
      </c>
      <c r="E220" s="15" t="inlineStr">
        <is>
          <t>Produce a read-only Apify LinkedIn query yield and cost audit with manual KEEP/REVIEW/PRUNE recommendations.</t>
        </is>
      </c>
      <c r="F220" s="16">
        <f>HYPERLINK('Link Config'!$B$2&amp;"plugins/vc/agents/vc-sourcing-operator.md","Sourcing Operator")</f>
        <v/>
      </c>
      <c r="G220" s="16">
        <f>HYPERLINK('Link Config'!$B$2&amp;"plugins/vc/skills/vc-linkedin-query-spend-audit/SKILL.md","VC LinkedIn Query Spend Audit")</f>
        <v/>
      </c>
      <c r="H220" s="16">
        <f>HYPERLINK('Link Config'!$B$2&amp;"plugins/vc/alludium/documents/origination/paid-source-spend-audit-checklist.md","Paid Source Spend Audit Checklist (output_template, to linkedin_spend_audit_artifact_id)")</f>
        <v/>
      </c>
      <c r="I220" s="15" t="inlineStr">
        <is>
          <t>None declared</t>
        </is>
      </c>
      <c r="J220" s="15" t="inlineStr">
        <is>
          <t>audit-linkedin-query-spend</t>
        </is>
      </c>
      <c r="K220" s="15" t="inlineStr">
        <is>
          <t>project_instance</t>
        </is>
      </c>
    </row>
    <row r="221" ht="18" customHeight="1" s="12">
      <c r="A221" s="15" t="inlineStr">
        <is>
          <t>Jay</t>
        </is>
      </c>
      <c r="B221" s="15" t="inlineStr">
        <is>
          <t>Origination Pipeline</t>
        </is>
      </c>
      <c r="C221" s="15" t="inlineStr">
        <is>
          <t>Source</t>
        </is>
      </c>
      <c r="D221" s="16">
        <f>HYPERLINK('Link Config'!$B$2&amp;"plugins/vc/tasks/audit-linkedin-query-spend.md","Audit LinkedIn Query Spend")</f>
        <v/>
      </c>
      <c r="E221" s="15" t="inlineStr">
        <is>
          <t>Produce a read-only Apify LinkedIn query yield and cost audit with manual KEEP/REVIEW/PRUNE recommendations.</t>
        </is>
      </c>
      <c r="F221" s="16">
        <f>HYPERLINK('Link Config'!$B$2&amp;"plugins/vc/agents/vc-sourcing-operator.md","Sourcing Operator")</f>
        <v/>
      </c>
      <c r="G221" s="16">
        <f>HYPERLINK('Link Config'!$B$2&amp;"plugins/vc/skills/vc-source-registry-and-state-management/SKILL.md","VC Source Registry &amp; State Management")</f>
        <v/>
      </c>
      <c r="H221" s="16">
        <f>HYPERLINK('Link Config'!$B$2&amp;"plugins/vc/alludium/documents/shared/template-use-guidance.md","Template Use Guidance (operating_guidance)")</f>
        <v/>
      </c>
      <c r="I221" s="15" t="inlineStr">
        <is>
          <t>None declared</t>
        </is>
      </c>
      <c r="J221" s="15" t="inlineStr">
        <is>
          <t>audit-linkedin-query-spend</t>
        </is>
      </c>
      <c r="K221" s="15" t="inlineStr">
        <is>
          <t>project_instance</t>
        </is>
      </c>
    </row>
    <row r="222" ht="18" customHeight="1" s="12">
      <c r="A222" s="15" t="inlineStr">
        <is>
          <t>Jay</t>
        </is>
      </c>
      <c r="B222" s="15" t="inlineStr">
        <is>
          <t>Origination Pipeline</t>
        </is>
      </c>
      <c r="C222" s="15" t="inlineStr">
        <is>
          <t>Source</t>
        </is>
      </c>
      <c r="D222" s="16">
        <f>HYPERLINK('Link Config'!$B$2&amp;"plugins/vc/tasks/audit-linkedin-query-spend.md","Audit LinkedIn Query Spend")</f>
        <v/>
      </c>
      <c r="E222" s="15" t="inlineStr">
        <is>
          <t>Produce a read-only Apify LinkedIn query yield and cost audit with manual KEEP/REVIEW/PRUNE recommendations.</t>
        </is>
      </c>
      <c r="F222" s="16">
        <f>HYPERLINK('Link Config'!$B$2&amp;"plugins/vc/agents/vc-sourcing-operator.md","Sourcing Operator")</f>
        <v/>
      </c>
      <c r="G222" s="16">
        <f>HYPERLINK('Link Config'!$B$2&amp;"plugins/vc/skills/citation-enforcement/SKILL.md","Citation Enforcement")</f>
        <v/>
      </c>
      <c r="H222" s="15" t="inlineStr"/>
      <c r="I222" s="15" t="inlineStr">
        <is>
          <t>None declared</t>
        </is>
      </c>
      <c r="J222" s="15" t="inlineStr">
        <is>
          <t>audit-linkedin-query-spend</t>
        </is>
      </c>
      <c r="K222" s="15" t="inlineStr">
        <is>
          <t>project_instance</t>
        </is>
      </c>
    </row>
    <row r="223" ht="135" customHeight="1" s="12">
      <c r="A223" s="15" t="inlineStr">
        <is>
          <t>George</t>
        </is>
      </c>
      <c r="B223" s="15" t="inlineStr">
        <is>
          <t>Origination Pipeline</t>
        </is>
      </c>
      <c r="C223" s="15" t="inlineStr">
        <is>
          <t>Source</t>
        </is>
      </c>
      <c r="D223" s="16">
        <f>HYPERLINK('Link Config'!$B$2&amp;"plugins/vc/tasks/source-thesis-targets.md","Source Thesis Targets")</f>
        <v/>
      </c>
      <c r="E223" s="15" t="inlineStr">
        <is>
          <t>Source Thesis Targets for one venture-capital opportunity with evidence capture, human review gates, and next-action recommendations.</t>
        </is>
      </c>
      <c r="F223" s="16">
        <f>HYPERLINK('Link Config'!$B$2&amp;"plugins/vc/agents/vc-origination-scout.md","Origination Scout")</f>
        <v/>
      </c>
      <c r="G223" s="16">
        <f>HYPERLINK('Link Config'!$B$2&amp;"plugins/vc/skills/company-research-and-enrichment/SKILL.md","Company Research &amp; Enrichment")</f>
        <v/>
      </c>
      <c r="H223" s="16">
        <f>HYPERLINK('Link Config'!$B$2&amp;"plugins/vc/alludium/documents/deal-room/thesis-target-list-template.md","Thesis Target List Template (output_template, to thesis_target_list_artifact_id)")</f>
        <v/>
      </c>
      <c r="I223" s="15" t="inlineStr">
        <is>
          <t>alludium-platform
harmonic-mcp-oauth
affinity-mcp-server
exa-mcp-hosted
brave-search-mcp
serpapi-mcp
firecrawl-mcp-hosted
dealroom-mcp
linkedin</t>
        </is>
      </c>
      <c r="J223" s="15" t="inlineStr">
        <is>
          <t>source-thesis-targets</t>
        </is>
      </c>
      <c r="K223" s="15" t="inlineStr">
        <is>
          <t>project_instance</t>
        </is>
      </c>
    </row>
    <row r="224" ht="135" customHeight="1" s="12">
      <c r="A224" s="15" t="inlineStr">
        <is>
          <t>George</t>
        </is>
      </c>
      <c r="B224" s="15" t="inlineStr">
        <is>
          <t>Origination Pipeline</t>
        </is>
      </c>
      <c r="C224" s="15" t="inlineStr">
        <is>
          <t>Source</t>
        </is>
      </c>
      <c r="D224" s="16">
        <f>HYPERLINK('Link Config'!$B$2&amp;"plugins/vc/tasks/source-thesis-targets.md","Source Thesis Targets")</f>
        <v/>
      </c>
      <c r="E224" s="15" t="inlineStr">
        <is>
          <t>Source Thesis Targets for one venture-capital opportunity with evidence capture, human review gates, and next-action recommendations.</t>
        </is>
      </c>
      <c r="F224" s="16">
        <f>HYPERLINK('Link Config'!$B$2&amp;"plugins/vc/agents/vc-origination-scout.md","Origination Scout")</f>
        <v/>
      </c>
      <c r="G224" s="16">
        <f>HYPERLINK('Link Config'!$B$2&amp;"plugins/vc/skills/founder-outreach-and-intro-paths/SKILL.md","Founder Outreach &amp; Intro Paths")</f>
        <v/>
      </c>
      <c r="H224" s="16">
        <f>HYPERLINK('Link Config'!$B$2&amp;"plugins/vc/alludium/documents/origination/origination-source-strategy-guide.md","Origination Source Strategy Guide (methodology)")</f>
        <v/>
      </c>
      <c r="I224" s="15" t="inlineStr">
        <is>
          <t>alludium-platform
harmonic-mcp-oauth
affinity-mcp-server
exa-mcp-hosted
brave-search-mcp
serpapi-mcp
firecrawl-mcp-hosted
dealroom-mcp
linkedin</t>
        </is>
      </c>
      <c r="J224" s="15" t="inlineStr">
        <is>
          <t>source-thesis-targets</t>
        </is>
      </c>
      <c r="K224" s="15" t="inlineStr">
        <is>
          <t>project_instance</t>
        </is>
      </c>
    </row>
    <row r="225" ht="135" customHeight="1" s="12">
      <c r="A225" s="15" t="inlineStr">
        <is>
          <t>George</t>
        </is>
      </c>
      <c r="B225" s="15" t="inlineStr">
        <is>
          <t>Origination Pipeline</t>
        </is>
      </c>
      <c r="C225" s="15" t="inlineStr">
        <is>
          <t>Source</t>
        </is>
      </c>
      <c r="D225" s="16">
        <f>HYPERLINK('Link Config'!$B$2&amp;"plugins/vc/tasks/source-thesis-targets.md","Source Thesis Targets")</f>
        <v/>
      </c>
      <c r="E225" s="15" t="inlineStr">
        <is>
          <t>Source Thesis Targets for one venture-capital opportunity with evidence capture, human review gates, and next-action recommendations.</t>
        </is>
      </c>
      <c r="F225" s="16">
        <f>HYPERLINK('Link Config'!$B$2&amp;"plugins/vc/agents/vc-origination-scout.md","Origination Scout")</f>
        <v/>
      </c>
      <c r="G225" s="16">
        <f>HYPERLINK('Link Config'!$B$2&amp;"plugins/vc/skills/citation-enforcement/SKILL.md","Citation Enforcement")</f>
        <v/>
      </c>
      <c r="H225" s="16">
        <f>HYPERLINK('Link Config'!$B$2&amp;"plugins/vc/alludium/documents/shared/evidence-citation-style-guide.md","Evidence And Citation Style Guide (style_guide)")</f>
        <v/>
      </c>
      <c r="I225" s="15" t="inlineStr">
        <is>
          <t>alludium-platform
harmonic-mcp-oauth
affinity-mcp-server
exa-mcp-hosted
brave-search-mcp
serpapi-mcp
firecrawl-mcp-hosted
dealroom-mcp
linkedin</t>
        </is>
      </c>
      <c r="J225" s="15" t="inlineStr">
        <is>
          <t>source-thesis-targets</t>
        </is>
      </c>
      <c r="K225" s="15" t="inlineStr">
        <is>
          <t>project_instance</t>
        </is>
      </c>
    </row>
    <row r="226" ht="135" customHeight="1" s="12">
      <c r="A226" s="15" t="inlineStr">
        <is>
          <t>George</t>
        </is>
      </c>
      <c r="B226" s="15" t="inlineStr">
        <is>
          <t>Origination Pipeline</t>
        </is>
      </c>
      <c r="C226" s="15" t="inlineStr">
        <is>
          <t>Source</t>
        </is>
      </c>
      <c r="D226" s="16">
        <f>HYPERLINK('Link Config'!$B$2&amp;"plugins/vc/tasks/source-thesis-targets.md","Source Thesis Targets")</f>
        <v/>
      </c>
      <c r="E226" s="15" t="inlineStr">
        <is>
          <t>Source Thesis Targets for one venture-capital opportunity with evidence capture, human review gates, and next-action recommendations.</t>
        </is>
      </c>
      <c r="F226" s="16">
        <f>HYPERLINK('Link Config'!$B$2&amp;"plugins/vc/agents/vc-origination-scout.md","Origination Scout")</f>
        <v/>
      </c>
      <c r="G226" s="15" t="inlineStr"/>
      <c r="H226" s="16">
        <f>HYPERLINK('Link Config'!$B$2&amp;"plugins/vc/alludium/documents/shared/template-use-guidance.md","Template Use Guidance (operating_guidance)")</f>
        <v/>
      </c>
      <c r="I226" s="15" t="inlineStr">
        <is>
          <t>alludium-platform
harmonic-mcp-oauth
affinity-mcp-server
exa-mcp-hosted
brave-search-mcp
serpapi-mcp
firecrawl-mcp-hosted
dealroom-mcp
linkedin</t>
        </is>
      </c>
      <c r="J226" s="15" t="inlineStr">
        <is>
          <t>source-thesis-targets</t>
        </is>
      </c>
      <c r="K226" s="15" t="inlineStr">
        <is>
          <t>project_instance</t>
        </is>
      </c>
    </row>
    <row r="227" ht="18" customHeight="1" s="12">
      <c r="A227" s="15" t="inlineStr">
        <is>
          <t>Jay</t>
        </is>
      </c>
      <c r="B227" s="15" t="inlineStr">
        <is>
          <t>Origination Pipeline</t>
        </is>
      </c>
      <c r="C227" s="15" t="inlineStr">
        <is>
          <t>Identify</t>
        </is>
      </c>
      <c r="D227" s="16">
        <f>HYPERLINK('Link Config'!$B$2&amp;"plugins/vc/tasks/review-reddit-candidate-inbox.md","Review Reddit Candidate Inbox")</f>
        <v/>
      </c>
      <c r="E227" s="15" t="inlineStr">
        <is>
          <t>Review Reddit discovery inbox rows and prepare approved candidates for enrichment.</t>
        </is>
      </c>
      <c r="F227" s="16">
        <f>HYPERLINK('Link Config'!$B$2&amp;"plugins/vc/agents/vc-sourcing-operator.md","Sourcing Operator")</f>
        <v/>
      </c>
      <c r="G227" s="16">
        <f>HYPERLINK('Link Config'!$B$2&amp;"plugins/vc/skills/vc-reddit-inbox-approval/SKILL.md","VC Reddit Inbox Approval")</f>
        <v/>
      </c>
      <c r="H227" s="15" t="inlineStr">
        <is>
          <t>None declared</t>
        </is>
      </c>
      <c r="I227" s="15" t="inlineStr">
        <is>
          <t>None declared</t>
        </is>
      </c>
      <c r="J227" s="15" t="inlineStr">
        <is>
          <t>review-reddit-candidate-inbox</t>
        </is>
      </c>
      <c r="K227" s="15" t="inlineStr">
        <is>
          <t>project_instance</t>
        </is>
      </c>
    </row>
    <row r="228" ht="18" customHeight="1" s="12">
      <c r="A228" s="15" t="inlineStr">
        <is>
          <t>Jay</t>
        </is>
      </c>
      <c r="B228" s="15" t="inlineStr">
        <is>
          <t>Origination Pipeline</t>
        </is>
      </c>
      <c r="C228" s="15" t="inlineStr">
        <is>
          <t>Identify</t>
        </is>
      </c>
      <c r="D228" s="16">
        <f>HYPERLINK('Link Config'!$B$2&amp;"plugins/vc/tasks/review-reddit-candidate-inbox.md","Review Reddit Candidate Inbox")</f>
        <v/>
      </c>
      <c r="E228" s="15" t="inlineStr">
        <is>
          <t>Review Reddit discovery inbox rows and prepare approved candidates for enrichment.</t>
        </is>
      </c>
      <c r="F228" s="16">
        <f>HYPERLINK('Link Config'!$B$2&amp;"plugins/vc/agents/vc-sourcing-operator.md","Sourcing Operator")</f>
        <v/>
      </c>
      <c r="G228" s="16">
        <f>HYPERLINK('Link Config'!$B$2&amp;"plugins/vc/skills/vc-sourcing-dedupe-and-novelty-check/SKILL.md","VC Sourcing Dedupe &amp; Novelty Check")</f>
        <v/>
      </c>
      <c r="H228" s="15" t="inlineStr"/>
      <c r="I228" s="15" t="inlineStr">
        <is>
          <t>None declared</t>
        </is>
      </c>
      <c r="J228" s="15" t="inlineStr">
        <is>
          <t>review-reddit-candidate-inbox</t>
        </is>
      </c>
      <c r="K228" s="15" t="inlineStr">
        <is>
          <t>project_instance</t>
        </is>
      </c>
    </row>
    <row r="229" ht="18" customHeight="1" s="12">
      <c r="A229" s="15" t="inlineStr">
        <is>
          <t>Jay</t>
        </is>
      </c>
      <c r="B229" s="15" t="inlineStr">
        <is>
          <t>Origination Pipeline</t>
        </is>
      </c>
      <c r="C229" s="15" t="inlineStr">
        <is>
          <t>Identify</t>
        </is>
      </c>
      <c r="D229" s="16">
        <f>HYPERLINK('Link Config'!$B$2&amp;"plugins/vc/tasks/review-reddit-candidate-inbox.md","Review Reddit Candidate Inbox")</f>
        <v/>
      </c>
      <c r="E229" s="15" t="inlineStr">
        <is>
          <t>Review Reddit discovery inbox rows and prepare approved candidates for enrichment.</t>
        </is>
      </c>
      <c r="F229" s="16">
        <f>HYPERLINK('Link Config'!$B$2&amp;"plugins/vc/agents/vc-sourcing-operator.md","Sourcing Operator")</f>
        <v/>
      </c>
      <c r="G229" s="16">
        <f>HYPERLINK('Link Config'!$B$2&amp;"plugins/vc/skills/citation-enforcement/SKILL.md","Citation Enforcement")</f>
        <v/>
      </c>
      <c r="H229" s="15" t="inlineStr"/>
      <c r="I229" s="15" t="inlineStr">
        <is>
          <t>None declared</t>
        </is>
      </c>
      <c r="J229" s="15" t="inlineStr">
        <is>
          <t>review-reddit-candidate-inbox</t>
        </is>
      </c>
      <c r="K229" s="15" t="inlineStr">
        <is>
          <t>project_instance</t>
        </is>
      </c>
    </row>
    <row r="230" ht="18" customHeight="1" s="12">
      <c r="A230" s="15" t="inlineStr">
        <is>
          <t>Jay</t>
        </is>
      </c>
      <c r="B230" s="15" t="inlineStr">
        <is>
          <t>Origination Pipeline</t>
        </is>
      </c>
      <c r="C230" s="15" t="inlineStr">
        <is>
          <t>Identify</t>
        </is>
      </c>
      <c r="D230" s="16">
        <f>HYPERLINK('Link Config'!$B$2&amp;"plugins/vc/tasks/ingest-manual-sourcing-tip.md","Ingest Manual Sourcing Tip")</f>
        <v/>
      </c>
      <c r="E230" s="15" t="inlineStr">
        <is>
          <t>Normalize a manually submitted company or founder lead into the origination candidate model.</t>
        </is>
      </c>
      <c r="F230" s="16">
        <f>HYPERLINK('Link Config'!$B$2&amp;"plugins/vc/agents/vc-sourcing-operator.md","Sourcing Operator")</f>
        <v/>
      </c>
      <c r="G230" s="16">
        <f>HYPERLINK('Link Config'!$B$2&amp;"plugins/vc/skills/vc-manual-tip-ingestion/SKILL.md","VC Manual Tip Ingestion")</f>
        <v/>
      </c>
      <c r="H230" s="15" t="inlineStr">
        <is>
          <t>None declared</t>
        </is>
      </c>
      <c r="I230" s="15" t="inlineStr">
        <is>
          <t>None declared</t>
        </is>
      </c>
      <c r="J230" s="15" t="inlineStr">
        <is>
          <t>ingest-manual-sourcing-tip</t>
        </is>
      </c>
      <c r="K230" s="15" t="inlineStr">
        <is>
          <t>project_instance</t>
        </is>
      </c>
    </row>
    <row r="231" ht="18" customHeight="1" s="12">
      <c r="A231" s="15" t="inlineStr">
        <is>
          <t>Jay</t>
        </is>
      </c>
      <c r="B231" s="15" t="inlineStr">
        <is>
          <t>Origination Pipeline</t>
        </is>
      </c>
      <c r="C231" s="15" t="inlineStr">
        <is>
          <t>Identify</t>
        </is>
      </c>
      <c r="D231" s="16">
        <f>HYPERLINK('Link Config'!$B$2&amp;"plugins/vc/tasks/ingest-manual-sourcing-tip.md","Ingest Manual Sourcing Tip")</f>
        <v/>
      </c>
      <c r="E231" s="15" t="inlineStr">
        <is>
          <t>Normalize a manually submitted company or founder lead into the origination candidate model.</t>
        </is>
      </c>
      <c r="F231" s="16">
        <f>HYPERLINK('Link Config'!$B$2&amp;"plugins/vc/agents/vc-sourcing-operator.md","Sourcing Operator")</f>
        <v/>
      </c>
      <c r="G231" s="16">
        <f>HYPERLINK('Link Config'!$B$2&amp;"plugins/vc/skills/vc-sourcing-dedupe-and-novelty-check/SKILL.md","VC Sourcing Dedupe &amp; Novelty Check")</f>
        <v/>
      </c>
      <c r="H231" s="15" t="inlineStr"/>
      <c r="I231" s="15" t="inlineStr">
        <is>
          <t>None declared</t>
        </is>
      </c>
      <c r="J231" s="15" t="inlineStr">
        <is>
          <t>ingest-manual-sourcing-tip</t>
        </is>
      </c>
      <c r="K231" s="15" t="inlineStr">
        <is>
          <t>project_instance</t>
        </is>
      </c>
    </row>
    <row r="232" ht="18" customHeight="1" s="12">
      <c r="A232" s="15" t="inlineStr">
        <is>
          <t>Jay</t>
        </is>
      </c>
      <c r="B232" s="15" t="inlineStr">
        <is>
          <t>Origination Pipeline</t>
        </is>
      </c>
      <c r="C232" s="15" t="inlineStr">
        <is>
          <t>Identify</t>
        </is>
      </c>
      <c r="D232" s="16">
        <f>HYPERLINK('Link Config'!$B$2&amp;"plugins/vc/tasks/ingest-manual-sourcing-tip.md","Ingest Manual Sourcing Tip")</f>
        <v/>
      </c>
      <c r="E232" s="15" t="inlineStr">
        <is>
          <t>Normalize a manually submitted company or founder lead into the origination candidate model.</t>
        </is>
      </c>
      <c r="F232" s="16">
        <f>HYPERLINK('Link Config'!$B$2&amp;"plugins/vc/agents/vc-sourcing-operator.md","Sourcing Operator")</f>
        <v/>
      </c>
      <c r="G232" s="16">
        <f>HYPERLINK('Link Config'!$B$2&amp;"plugins/vc/skills/citation-enforcement/SKILL.md","Citation Enforcement")</f>
        <v/>
      </c>
      <c r="H232" s="15" t="inlineStr"/>
      <c r="I232" s="15" t="inlineStr">
        <is>
          <t>None declared</t>
        </is>
      </c>
      <c r="J232" s="15" t="inlineStr">
        <is>
          <t>ingest-manual-sourcing-tip</t>
        </is>
      </c>
      <c r="K232" s="15" t="inlineStr">
        <is>
          <t>project_instance</t>
        </is>
      </c>
    </row>
    <row r="233" ht="18" customHeight="1" s="12">
      <c r="A233" s="15" t="inlineStr"/>
      <c r="B233" s="15" t="inlineStr">
        <is>
          <t>Origination Pipeline</t>
        </is>
      </c>
      <c r="C233" s="15" t="inlineStr">
        <is>
          <t>Identify</t>
        </is>
      </c>
      <c r="D233" s="16">
        <f>HYPERLINK('Link Config'!$B$2&amp;"plugins/vc/tasks/sync-sourcing-candidates.md","Sync Sourcing Candidate")</f>
        <v/>
      </c>
      <c r="E233" s="15" t="inlineStr">
        <is>
          <t>Prepare or apply reviewed candidate state sync while preserving manual workflow decisions.</t>
        </is>
      </c>
      <c r="F233" s="16">
        <f>HYPERLINK('Link Config'!$B$2&amp;"plugins/vc/agents/vc-sourcing-operator.md","Sourcing Operator")</f>
        <v/>
      </c>
      <c r="G233" s="16">
        <f>HYPERLINK('Link Config'!$B$2&amp;"plugins/vc/skills/vc-source-registry-and-state-management/SKILL.md","VC Source Registry &amp; State Management")</f>
        <v/>
      </c>
      <c r="H233" s="15" t="inlineStr">
        <is>
          <t>None declared</t>
        </is>
      </c>
      <c r="I233" s="15" t="inlineStr">
        <is>
          <t>None declared</t>
        </is>
      </c>
      <c r="J233" s="15" t="inlineStr">
        <is>
          <t>sync-sourcing-candidates</t>
        </is>
      </c>
      <c r="K233" s="15" t="inlineStr">
        <is>
          <t>project_instance</t>
        </is>
      </c>
    </row>
    <row r="234" ht="18" customHeight="1" s="12">
      <c r="A234" s="15" t="inlineStr"/>
      <c r="B234" s="15" t="inlineStr">
        <is>
          <t>Origination Pipeline</t>
        </is>
      </c>
      <c r="C234" s="15" t="inlineStr">
        <is>
          <t>Identify</t>
        </is>
      </c>
      <c r="D234" s="16">
        <f>HYPERLINK('Link Config'!$B$2&amp;"plugins/vc/tasks/sync-sourcing-candidates.md","Sync Sourcing Candidate")</f>
        <v/>
      </c>
      <c r="E234" s="15" t="inlineStr">
        <is>
          <t>Prepare or apply reviewed candidate state sync while preserving manual workflow decisions.</t>
        </is>
      </c>
      <c r="F234" s="16">
        <f>HYPERLINK('Link Config'!$B$2&amp;"plugins/vc/agents/vc-sourcing-operator.md","Sourcing Operator")</f>
        <v/>
      </c>
      <c r="G234" s="16">
        <f>HYPERLINK('Link Config'!$B$2&amp;"plugins/vc/skills/vc-sourcing-dedupe-and-novelty-check/SKILL.md","VC Sourcing Dedupe &amp; Novelty Check")</f>
        <v/>
      </c>
      <c r="H234" s="15" t="inlineStr"/>
      <c r="I234" s="15" t="inlineStr">
        <is>
          <t>None declared</t>
        </is>
      </c>
      <c r="J234" s="15" t="inlineStr">
        <is>
          <t>sync-sourcing-candidates</t>
        </is>
      </c>
      <c r="K234" s="15" t="inlineStr">
        <is>
          <t>project_instance</t>
        </is>
      </c>
    </row>
    <row r="235" ht="18" customHeight="1" s="12">
      <c r="A235" s="15" t="inlineStr"/>
      <c r="B235" s="15" t="inlineStr">
        <is>
          <t>Origination Pipeline</t>
        </is>
      </c>
      <c r="C235" s="15" t="inlineStr">
        <is>
          <t>Identify</t>
        </is>
      </c>
      <c r="D235" s="16">
        <f>HYPERLINK('Link Config'!$B$2&amp;"plugins/vc/tasks/sync-sourcing-candidates.md","Sync Sourcing Candidate")</f>
        <v/>
      </c>
      <c r="E235" s="15" t="inlineStr">
        <is>
          <t>Prepare or apply reviewed candidate state sync while preserving manual workflow decisions.</t>
        </is>
      </c>
      <c r="F235" s="16">
        <f>HYPERLINK('Link Config'!$B$2&amp;"plugins/vc/agents/vc-sourcing-operator.md","Sourcing Operator")</f>
        <v/>
      </c>
      <c r="G235" s="16">
        <f>HYPERLINK('Link Config'!$B$2&amp;"plugins/vc/skills/citation-enforcement/SKILL.md","Citation Enforcement")</f>
        <v/>
      </c>
      <c r="H235" s="15" t="inlineStr"/>
      <c r="I235" s="15" t="inlineStr">
        <is>
          <t>None declared</t>
        </is>
      </c>
      <c r="J235" s="15" t="inlineStr">
        <is>
          <t>sync-sourcing-candidates</t>
        </is>
      </c>
      <c r="K235" s="15" t="inlineStr">
        <is>
          <t>project_instance</t>
        </is>
      </c>
    </row>
    <row r="236" ht="18" customHeight="1" s="12">
      <c r="A236" s="15" t="inlineStr"/>
      <c r="B236" s="15" t="inlineStr">
        <is>
          <t>Origination Pipeline</t>
        </is>
      </c>
      <c r="C236" s="15" t="inlineStr">
        <is>
          <t>Identify</t>
        </is>
      </c>
      <c r="D236" s="16">
        <f>HYPERLINK('Link Config'!$B$2&amp;"plugins/vc/tasks/sync-sourcing-candidates.md","Sync Sourcing Candidate")</f>
        <v/>
      </c>
      <c r="E236" s="15" t="inlineStr">
        <is>
          <t>Prepare or apply reviewed candidate state sync while preserving manual workflow decisions.</t>
        </is>
      </c>
      <c r="F236" s="16">
        <f>HYPERLINK('Link Config'!$B$2&amp;"plugins/vc/agents/vc-sourcing-operator.md","Sourcing Operator")</f>
        <v/>
      </c>
      <c r="G236" s="16">
        <f>HYPERLINK('Link Config'!$B$2&amp;"plugins/vc/skills/vc-notion-sync-write/SKILL.md","VC Notion Sync Write")</f>
        <v/>
      </c>
      <c r="H236" s="15" t="inlineStr"/>
      <c r="I236" s="15" t="inlineStr">
        <is>
          <t>None declared</t>
        </is>
      </c>
      <c r="J236" s="15" t="inlineStr">
        <is>
          <t>sync-sourcing-candidates</t>
        </is>
      </c>
      <c r="K236" s="15" t="inlineStr">
        <is>
          <t>project_instance</t>
        </is>
      </c>
    </row>
    <row r="237" ht="18" customHeight="1" s="12">
      <c r="A237" s="15" t="inlineStr"/>
      <c r="B237" s="15" t="inlineStr">
        <is>
          <t>Origination Pipeline</t>
        </is>
      </c>
      <c r="C237" s="15" t="inlineStr">
        <is>
          <t>Enrich</t>
        </is>
      </c>
      <c r="D237" s="16">
        <f>HYPERLINK('Link Config'!$B$2&amp;"plugins/vc/tasks/enrich-sourcing-candidates.md","Enrich Sourcing Candidate")</f>
        <v/>
      </c>
      <c r="E237" s="15" t="inlineStr">
        <is>
          <t>Normalize and enrich candidate records with web, LinkedIn, founder, website, and evidence context before scoring.</t>
        </is>
      </c>
      <c r="F237" s="16">
        <f>HYPERLINK('Link Config'!$B$2&amp;"plugins/vc/agents/vc-sourcing-operator.md","Sourcing Operator")</f>
        <v/>
      </c>
      <c r="G237" s="16">
        <f>HYPERLINK('Link Config'!$B$2&amp;"plugins/vc/skills/vc-sourcing-candidate-enrichment/SKILL.md","VC Sourcing Candidate Enrichment")</f>
        <v/>
      </c>
      <c r="H237" s="15" t="inlineStr">
        <is>
          <t>None declared</t>
        </is>
      </c>
      <c r="I237" s="15" t="inlineStr">
        <is>
          <t>None declared</t>
        </is>
      </c>
      <c r="J237" s="15" t="inlineStr">
        <is>
          <t>enrich-sourcing-candidates</t>
        </is>
      </c>
      <c r="K237" s="15" t="inlineStr">
        <is>
          <t>project_instance</t>
        </is>
      </c>
    </row>
    <row r="238" ht="18" customHeight="1" s="12">
      <c r="A238" s="15" t="inlineStr"/>
      <c r="B238" s="15" t="inlineStr">
        <is>
          <t>Origination Pipeline</t>
        </is>
      </c>
      <c r="C238" s="15" t="inlineStr">
        <is>
          <t>Enrich</t>
        </is>
      </c>
      <c r="D238" s="16">
        <f>HYPERLINK('Link Config'!$B$2&amp;"plugins/vc/tasks/enrich-sourcing-candidates.md","Enrich Sourcing Candidate")</f>
        <v/>
      </c>
      <c r="E238" s="15" t="inlineStr">
        <is>
          <t>Normalize and enrich candidate records with web, LinkedIn, founder, website, and evidence context before scoring.</t>
        </is>
      </c>
      <c r="F238" s="16">
        <f>HYPERLINK('Link Config'!$B$2&amp;"plugins/vc/agents/vc-sourcing-operator.md","Sourcing Operator")</f>
        <v/>
      </c>
      <c r="G238" s="16">
        <f>HYPERLINK('Link Config'!$B$2&amp;"plugins/vc/skills/vc-sourcing-dedupe-and-novelty-check/SKILL.md","VC Sourcing Dedupe &amp; Novelty Check")</f>
        <v/>
      </c>
      <c r="H238" s="15" t="inlineStr"/>
      <c r="I238" s="15" t="inlineStr">
        <is>
          <t>None declared</t>
        </is>
      </c>
      <c r="J238" s="15" t="inlineStr">
        <is>
          <t>enrich-sourcing-candidates</t>
        </is>
      </c>
      <c r="K238" s="15" t="inlineStr">
        <is>
          <t>project_instance</t>
        </is>
      </c>
    </row>
    <row r="239" ht="18" customHeight="1" s="12">
      <c r="A239" s="15" t="inlineStr"/>
      <c r="B239" s="15" t="inlineStr">
        <is>
          <t>Origination Pipeline</t>
        </is>
      </c>
      <c r="C239" s="15" t="inlineStr">
        <is>
          <t>Enrich</t>
        </is>
      </c>
      <c r="D239" s="16">
        <f>HYPERLINK('Link Config'!$B$2&amp;"plugins/vc/tasks/enrich-sourcing-candidates.md","Enrich Sourcing Candidate")</f>
        <v/>
      </c>
      <c r="E239" s="15" t="inlineStr">
        <is>
          <t>Normalize and enrich candidate records with web, LinkedIn, founder, website, and evidence context before scoring.</t>
        </is>
      </c>
      <c r="F239" s="16">
        <f>HYPERLINK('Link Config'!$B$2&amp;"plugins/vc/agents/vc-sourcing-operator.md","Sourcing Operator")</f>
        <v/>
      </c>
      <c r="G239" s="16">
        <f>HYPERLINK('Link Config'!$B$2&amp;"plugins/vc/skills/citation-enforcement/SKILL.md","Citation Enforcement")</f>
        <v/>
      </c>
      <c r="H239" s="15" t="inlineStr"/>
      <c r="I239" s="15" t="inlineStr">
        <is>
          <t>None declared</t>
        </is>
      </c>
      <c r="J239" s="15" t="inlineStr">
        <is>
          <t>enrich-sourcing-candidates</t>
        </is>
      </c>
      <c r="K239" s="15" t="inlineStr">
        <is>
          <t>project_instance</t>
        </is>
      </c>
    </row>
    <row r="240" ht="18" customHeight="1" s="12">
      <c r="A240" s="15" t="inlineStr">
        <is>
          <t>Jay</t>
        </is>
      </c>
      <c r="B240" s="15" t="inlineStr">
        <is>
          <t>Origination Pipeline</t>
        </is>
      </c>
      <c r="C240" s="15" t="inlineStr">
        <is>
          <t>Enrich</t>
        </is>
      </c>
      <c r="D240" s="16">
        <f>HYPERLINK('Link Config'!$B$2&amp;"plugins/vc/tasks/check-affinity-relationships.md","Check Affinity Relationship Context")</f>
        <v/>
      </c>
      <c r="E240" s="15" t="inlineStr">
        <is>
          <t>Check whether sourcing candidates are already known in Affinity and capture relationship context without changing CRM records.</t>
        </is>
      </c>
      <c r="F240" s="16">
        <f>HYPERLINK('Link Config'!$B$2&amp;"plugins/vc/agents/vc-sourcing-operator.md","Sourcing Operator")</f>
        <v/>
      </c>
      <c r="G240" s="16">
        <f>HYPERLINK('Link Config'!$B$2&amp;"plugins/vc/skills/vc-relationship-context-check/SKILL.md","VC Relationship Context Check")</f>
        <v/>
      </c>
      <c r="H240" s="15" t="inlineStr">
        <is>
          <t>None declared</t>
        </is>
      </c>
      <c r="I240" s="15" t="inlineStr">
        <is>
          <t>None declared</t>
        </is>
      </c>
      <c r="J240" s="15" t="inlineStr">
        <is>
          <t>check-affinity-relationships</t>
        </is>
      </c>
      <c r="K240" s="15" t="inlineStr">
        <is>
          <t>project_instance</t>
        </is>
      </c>
    </row>
    <row r="241" ht="18" customHeight="1" s="12">
      <c r="A241" s="15" t="inlineStr">
        <is>
          <t>Jay</t>
        </is>
      </c>
      <c r="B241" s="15" t="inlineStr">
        <is>
          <t>Origination Pipeline</t>
        </is>
      </c>
      <c r="C241" s="15" t="inlineStr">
        <is>
          <t>Enrich</t>
        </is>
      </c>
      <c r="D241" s="16">
        <f>HYPERLINK('Link Config'!$B$2&amp;"plugins/vc/tasks/check-affinity-relationships.md","Check Affinity Relationship Context")</f>
        <v/>
      </c>
      <c r="E241" s="15" t="inlineStr">
        <is>
          <t>Check whether sourcing candidates are already known in Affinity and capture relationship context without changing CRM records.</t>
        </is>
      </c>
      <c r="F241" s="16">
        <f>HYPERLINK('Link Config'!$B$2&amp;"plugins/vc/agents/vc-sourcing-operator.md","Sourcing Operator")</f>
        <v/>
      </c>
      <c r="G241" s="16">
        <f>HYPERLINK('Link Config'!$B$2&amp;"plugins/vc/skills/citation-enforcement/SKILL.md","Citation Enforcement")</f>
        <v/>
      </c>
      <c r="H241" s="15" t="inlineStr"/>
      <c r="I241" s="15" t="inlineStr">
        <is>
          <t>None declared</t>
        </is>
      </c>
      <c r="J241" s="15" t="inlineStr">
        <is>
          <t>check-affinity-relationships</t>
        </is>
      </c>
      <c r="K241" s="15" t="inlineStr">
        <is>
          <t>project_instance</t>
        </is>
      </c>
    </row>
    <row r="242" ht="18" customHeight="1" s="12">
      <c r="A242" s="15" t="inlineStr"/>
      <c r="B242" s="15" t="inlineStr">
        <is>
          <t>Origination Pipeline</t>
        </is>
      </c>
      <c r="C242" s="15" t="inlineStr">
        <is>
          <t>Initial Screen</t>
        </is>
      </c>
      <c r="D242" s="16">
        <f>HYPERLINK('Link Config'!$B$2&amp;"plugins/vc/tasks/score-sourcing-candidates.md","Score Sourcing Candidate")</f>
        <v/>
      </c>
      <c r="E242" s="15" t="inlineStr">
        <is>
          <t>Produce Meet/Watch/Pass verdicts and urgency scores for enriched origination candidates.</t>
        </is>
      </c>
      <c r="F242" s="16">
        <f>HYPERLINK('Link Config'!$B$2&amp;"plugins/vc/agents/vc-sourcing-operator.md","Sourcing Operator")</f>
        <v/>
      </c>
      <c r="G242" s="16">
        <f>HYPERLINK('Link Config'!$B$2&amp;"plugins/vc/skills/vc-sourcing-verdict-and-screening/SKILL.md","VC Sourcing Verdict &amp; Screening")</f>
        <v/>
      </c>
      <c r="H242" s="16">
        <f>HYPERLINK('Link Config'!$B$2&amp;"plugins/vc/alludium/documents/origination/sourcing-scoring-rubric.md","Sourcing Scoring Rubric (methodology, to scoring_artifact_id)")</f>
        <v/>
      </c>
      <c r="I242" s="15" t="inlineStr">
        <is>
          <t>None declared</t>
        </is>
      </c>
      <c r="J242" s="15" t="inlineStr">
        <is>
          <t>score-sourcing-candidates</t>
        </is>
      </c>
      <c r="K242" s="15" t="inlineStr">
        <is>
          <t>project_instance</t>
        </is>
      </c>
    </row>
    <row r="243" ht="18" customHeight="1" s="12">
      <c r="A243" s="15" t="inlineStr"/>
      <c r="B243" s="15" t="inlineStr">
        <is>
          <t>Origination Pipeline</t>
        </is>
      </c>
      <c r="C243" s="15" t="inlineStr">
        <is>
          <t>Initial Screen</t>
        </is>
      </c>
      <c r="D243" s="16">
        <f>HYPERLINK('Link Config'!$B$2&amp;"plugins/vc/tasks/score-sourcing-candidates.md","Score Sourcing Candidate")</f>
        <v/>
      </c>
      <c r="E243" s="15" t="inlineStr">
        <is>
          <t>Produce Meet/Watch/Pass verdicts and urgency scores for enriched origination candidates.</t>
        </is>
      </c>
      <c r="F243" s="16">
        <f>HYPERLINK('Link Config'!$B$2&amp;"plugins/vc/agents/vc-sourcing-operator.md","Sourcing Operator")</f>
        <v/>
      </c>
      <c r="G243" s="16">
        <f>HYPERLINK('Link Config'!$B$2&amp;"plugins/vc/skills/vc-sourcing-dedupe-and-novelty-check/SKILL.md","VC Sourcing Dedupe &amp; Novelty Check")</f>
        <v/>
      </c>
      <c r="H243" s="16">
        <f>HYPERLINK('Link Config'!$B$2&amp;"plugins/vc/alludium/documents/origination/origination-source-strategy-guide.md","Origination Source Strategy Guide (methodology)")</f>
        <v/>
      </c>
      <c r="I243" s="15" t="inlineStr">
        <is>
          <t>None declared</t>
        </is>
      </c>
      <c r="J243" s="15" t="inlineStr">
        <is>
          <t>score-sourcing-candidates</t>
        </is>
      </c>
      <c r="K243" s="15" t="inlineStr">
        <is>
          <t>project_instance</t>
        </is>
      </c>
    </row>
    <row r="244" ht="18" customHeight="1" s="12">
      <c r="A244" s="15" t="inlineStr"/>
      <c r="B244" s="15" t="inlineStr">
        <is>
          <t>Origination Pipeline</t>
        </is>
      </c>
      <c r="C244" s="15" t="inlineStr">
        <is>
          <t>Initial Screen</t>
        </is>
      </c>
      <c r="D244" s="16">
        <f>HYPERLINK('Link Config'!$B$2&amp;"plugins/vc/tasks/score-sourcing-candidates.md","Score Sourcing Candidate")</f>
        <v/>
      </c>
      <c r="E244" s="15" t="inlineStr">
        <is>
          <t>Produce Meet/Watch/Pass verdicts and urgency scores for enriched origination candidates.</t>
        </is>
      </c>
      <c r="F244" s="16">
        <f>HYPERLINK('Link Config'!$B$2&amp;"plugins/vc/agents/vc-sourcing-operator.md","Sourcing Operator")</f>
        <v/>
      </c>
      <c r="G244" s="16">
        <f>HYPERLINK('Link Config'!$B$2&amp;"plugins/vc/skills/citation-enforcement/SKILL.md","Citation Enforcement")</f>
        <v/>
      </c>
      <c r="H244" s="16">
        <f>HYPERLINK('Link Config'!$B$2&amp;"plugins/vc/alludium/documents/shared/template-use-guidance.md","Template Use Guidance (operating_guidance)")</f>
        <v/>
      </c>
      <c r="I244" s="15" t="inlineStr">
        <is>
          <t>None declared</t>
        </is>
      </c>
      <c r="J244" s="15" t="inlineStr">
        <is>
          <t>score-sourcing-candidates</t>
        </is>
      </c>
      <c r="K244" s="15" t="inlineStr">
        <is>
          <t>project_instance</t>
        </is>
      </c>
    </row>
    <row r="245" ht="18" customHeight="1" s="12">
      <c r="A245" s="15" t="inlineStr"/>
      <c r="B245" s="15" t="inlineStr">
        <is>
          <t>Origination Pipeline</t>
        </is>
      </c>
      <c r="C245" s="15" t="inlineStr">
        <is>
          <t>Initial Screen</t>
        </is>
      </c>
      <c r="D245" s="16">
        <f>HYPERLINK('Link Config'!$B$2&amp;"plugins/vc/tasks/screen-identified-candidates.md","Screen Identified Candidate")</f>
        <v/>
      </c>
      <c r="E245" s="15" t="inlineStr">
        <is>
          <t>Run a lightweight first-pass fit screen on newly identified origination candidates before marking them of interest.</t>
        </is>
      </c>
      <c r="F245" s="16">
        <f>HYPERLINK('Link Config'!$B$2&amp;"plugins/vc/agents/vc-sourcing-operator.md","Sourcing Operator")</f>
        <v/>
      </c>
      <c r="G245" s="16">
        <f>HYPERLINK('Link Config'!$B$2&amp;"plugins/vc/skills/vc-sourcing-verdict-and-screening/SKILL.md","VC Sourcing Verdict &amp; Screening")</f>
        <v/>
      </c>
      <c r="H245" s="16">
        <f>HYPERLINK('Link Config'!$B$2&amp;"plugins/vc/alludium/documents/origination/sourcing-scoring-rubric.md","Sourcing Scoring Rubric (methodology, to identified_screen_artifact_id)")</f>
        <v/>
      </c>
      <c r="I245" s="15" t="inlineStr">
        <is>
          <t>None declared</t>
        </is>
      </c>
      <c r="J245" s="15" t="inlineStr">
        <is>
          <t>screen-identified-candidates</t>
        </is>
      </c>
      <c r="K245" s="15" t="inlineStr">
        <is>
          <t>project_instance</t>
        </is>
      </c>
    </row>
    <row r="246" ht="18" customHeight="1" s="12">
      <c r="A246" s="15" t="inlineStr"/>
      <c r="B246" s="15" t="inlineStr">
        <is>
          <t>Origination Pipeline</t>
        </is>
      </c>
      <c r="C246" s="15" t="inlineStr">
        <is>
          <t>Initial Screen</t>
        </is>
      </c>
      <c r="D246" s="16">
        <f>HYPERLINK('Link Config'!$B$2&amp;"plugins/vc/tasks/screen-identified-candidates.md","Screen Identified Candidate")</f>
        <v/>
      </c>
      <c r="E246" s="15" t="inlineStr">
        <is>
          <t>Run a lightweight first-pass fit screen on newly identified origination candidates before marking them of interest.</t>
        </is>
      </c>
      <c r="F246" s="16">
        <f>HYPERLINK('Link Config'!$B$2&amp;"plugins/vc/agents/vc-sourcing-operator.md","Sourcing Operator")</f>
        <v/>
      </c>
      <c r="G246" s="16">
        <f>HYPERLINK('Link Config'!$B$2&amp;"plugins/vc/skills/vc-sourcing-dedupe-and-novelty-check/SKILL.md","VC Sourcing Dedupe &amp; Novelty Check")</f>
        <v/>
      </c>
      <c r="H246" s="16">
        <f>HYPERLINK('Link Config'!$B$2&amp;"plugins/vc/alludium/documents/origination/origination-source-strategy-guide.md","Origination Source Strategy Guide (methodology)")</f>
        <v/>
      </c>
      <c r="I246" s="15" t="inlineStr">
        <is>
          <t>None declared</t>
        </is>
      </c>
      <c r="J246" s="15" t="inlineStr">
        <is>
          <t>screen-identified-candidates</t>
        </is>
      </c>
      <c r="K246" s="15" t="inlineStr">
        <is>
          <t>project_instance</t>
        </is>
      </c>
    </row>
    <row r="247" ht="18" customHeight="1" s="12">
      <c r="A247" s="15" t="inlineStr"/>
      <c r="B247" s="15" t="inlineStr">
        <is>
          <t>Origination Pipeline</t>
        </is>
      </c>
      <c r="C247" s="15" t="inlineStr">
        <is>
          <t>Initial Screen</t>
        </is>
      </c>
      <c r="D247" s="16">
        <f>HYPERLINK('Link Config'!$B$2&amp;"plugins/vc/tasks/screen-identified-candidates.md","Screen Identified Candidate")</f>
        <v/>
      </c>
      <c r="E247" s="15" t="inlineStr">
        <is>
          <t>Run a lightweight first-pass fit screen on newly identified origination candidates before marking them of interest.</t>
        </is>
      </c>
      <c r="F247" s="16">
        <f>HYPERLINK('Link Config'!$B$2&amp;"plugins/vc/agents/vc-sourcing-operator.md","Sourcing Operator")</f>
        <v/>
      </c>
      <c r="G247" s="16">
        <f>HYPERLINK('Link Config'!$B$2&amp;"plugins/vc/skills/citation-enforcement/SKILL.md","Citation Enforcement")</f>
        <v/>
      </c>
      <c r="H247" s="16">
        <f>HYPERLINK('Link Config'!$B$2&amp;"plugins/vc/alludium/documents/origination/dedupe-novelty-policy.md","Dedupe And Novelty Policy (policy)")</f>
        <v/>
      </c>
      <c r="I247" s="15" t="inlineStr">
        <is>
          <t>None declared</t>
        </is>
      </c>
      <c r="J247" s="15" t="inlineStr">
        <is>
          <t>screen-identified-candidates</t>
        </is>
      </c>
      <c r="K247" s="15" t="inlineStr">
        <is>
          <t>project_instance</t>
        </is>
      </c>
    </row>
    <row r="248" ht="18" customHeight="1" s="12">
      <c r="A248" s="15" t="inlineStr"/>
      <c r="B248" s="15" t="inlineStr">
        <is>
          <t>Origination Pipeline</t>
        </is>
      </c>
      <c r="C248" s="15" t="inlineStr">
        <is>
          <t>Initial Screen</t>
        </is>
      </c>
      <c r="D248" s="16">
        <f>HYPERLINK('Link Config'!$B$2&amp;"plugins/vc/tasks/screen-identified-candidates.md","Screen Identified Candidate")</f>
        <v/>
      </c>
      <c r="E248" s="15" t="inlineStr">
        <is>
          <t>Run a lightweight first-pass fit screen on newly identified origination candidates before marking them of interest.</t>
        </is>
      </c>
      <c r="F248" s="16">
        <f>HYPERLINK('Link Config'!$B$2&amp;"plugins/vc/agents/vc-sourcing-operator.md","Sourcing Operator")</f>
        <v/>
      </c>
      <c r="G248" s="15" t="inlineStr"/>
      <c r="H248" s="16">
        <f>HYPERLINK('Link Config'!$B$2&amp;"plugins/vc/alludium/documents/shared/template-use-guidance.md","Template Use Guidance (operating_guidance)")</f>
        <v/>
      </c>
      <c r="I248" s="15" t="inlineStr">
        <is>
          <t>None declared</t>
        </is>
      </c>
      <c r="J248" s="15" t="inlineStr">
        <is>
          <t>screen-identified-candidates</t>
        </is>
      </c>
      <c r="K248" s="15" t="inlineStr">
        <is>
          <t>project_instance</t>
        </is>
      </c>
    </row>
    <row r="249" ht="18" customHeight="1" s="12">
      <c r="A249" s="15" t="inlineStr">
        <is>
          <t>Jay</t>
        </is>
      </c>
      <c r="B249" s="15" t="inlineStr">
        <is>
          <t>Origination Pipeline</t>
        </is>
      </c>
      <c r="C249" s="15" t="inlineStr">
        <is>
          <t>Prioritize</t>
        </is>
      </c>
      <c r="D249" s="16">
        <f>HYPERLINK('Link Config'!$B$2&amp;"plugins/vc/tasks/review-portfolio-overlap.md","Review Portfolio Overlap")</f>
        <v/>
      </c>
      <c r="E249" s="15" t="inlineStr">
        <is>
          <t>Compare active sourcing candidates against portfolio companies and flag possible competitive overlap.</t>
        </is>
      </c>
      <c r="F249" s="16">
        <f>HYPERLINK('Link Config'!$B$2&amp;"plugins/vc/agents/vc-sourcing-operator.md","Sourcing Operator")</f>
        <v/>
      </c>
      <c r="G249" s="16">
        <f>HYPERLINK('Link Config'!$B$2&amp;"plugins/vc/skills/vc-portfolio-overlap-review/SKILL.md","VC Portfolio Overlap Review")</f>
        <v/>
      </c>
      <c r="H249" s="15" t="inlineStr">
        <is>
          <t>None declared</t>
        </is>
      </c>
      <c r="I249" s="15" t="inlineStr">
        <is>
          <t>None declared</t>
        </is>
      </c>
      <c r="J249" s="15" t="inlineStr">
        <is>
          <t>review-portfolio-overlap</t>
        </is>
      </c>
      <c r="K249" s="15" t="inlineStr">
        <is>
          <t>project_instance</t>
        </is>
      </c>
    </row>
    <row r="250" ht="18" customHeight="1" s="12">
      <c r="A250" s="15" t="inlineStr">
        <is>
          <t>Jay</t>
        </is>
      </c>
      <c r="B250" s="15" t="inlineStr">
        <is>
          <t>Origination Pipeline</t>
        </is>
      </c>
      <c r="C250" s="15" t="inlineStr">
        <is>
          <t>Prioritize</t>
        </is>
      </c>
      <c r="D250" s="16">
        <f>HYPERLINK('Link Config'!$B$2&amp;"plugins/vc/tasks/review-portfolio-overlap.md","Review Portfolio Overlap")</f>
        <v/>
      </c>
      <c r="E250" s="15" t="inlineStr">
        <is>
          <t>Compare active sourcing candidates against portfolio companies and flag possible competitive overlap.</t>
        </is>
      </c>
      <c r="F250" s="16">
        <f>HYPERLINK('Link Config'!$B$2&amp;"plugins/vc/agents/vc-sourcing-operator.md","Sourcing Operator")</f>
        <v/>
      </c>
      <c r="G250" s="16">
        <f>HYPERLINK('Link Config'!$B$2&amp;"plugins/vc/skills/citation-enforcement/SKILL.md","Citation Enforcement")</f>
        <v/>
      </c>
      <c r="H250" s="15" t="inlineStr"/>
      <c r="I250" s="15" t="inlineStr">
        <is>
          <t>None declared</t>
        </is>
      </c>
      <c r="J250" s="15" t="inlineStr">
        <is>
          <t>review-portfolio-overlap</t>
        </is>
      </c>
      <c r="K250" s="15" t="inlineStr">
        <is>
          <t>project_instance</t>
        </is>
      </c>
    </row>
    <row r="251" ht="18" customHeight="1" s="12">
      <c r="A251" s="15" t="inlineStr">
        <is>
          <t>Jay</t>
        </is>
      </c>
      <c r="B251" s="15" t="inlineStr">
        <is>
          <t>Origination Pipeline</t>
        </is>
      </c>
      <c r="C251" s="15" t="inlineStr">
        <is>
          <t>Prioritize</t>
        </is>
      </c>
      <c r="D251" s="16">
        <f>HYPERLINK('Link Config'!$B$2&amp;"plugins/vc/tasks/review-portfolio-overlap.md","Review Portfolio Overlap")</f>
        <v/>
      </c>
      <c r="E251" s="15" t="inlineStr">
        <is>
          <t>Compare active sourcing candidates against portfolio companies and flag possible competitive overlap.</t>
        </is>
      </c>
      <c r="F251" s="16">
        <f>HYPERLINK('Link Config'!$B$2&amp;"plugins/vc/agents/vc-sourcing-operator.md","Sourcing Operator")</f>
        <v/>
      </c>
      <c r="G251" s="16">
        <f>HYPERLINK('Link Config'!$B$2&amp;"plugins/vc/skills/vc-relationship-context-check/SKILL.md","VC Relationship Context Check")</f>
        <v/>
      </c>
      <c r="H251" s="15" t="inlineStr"/>
      <c r="I251" s="15" t="inlineStr">
        <is>
          <t>None declared</t>
        </is>
      </c>
      <c r="J251" s="15" t="inlineStr">
        <is>
          <t>review-portfolio-overlap</t>
        </is>
      </c>
      <c r="K251" s="15" t="inlineStr">
        <is>
          <t>project_instance</t>
        </is>
      </c>
    </row>
    <row r="252" ht="18" customHeight="1" s="12">
      <c r="A252" s="15" t="inlineStr"/>
      <c r="B252" s="15" t="inlineStr">
        <is>
          <t>Origination Pipeline</t>
        </is>
      </c>
      <c r="C252" s="15" t="inlineStr">
        <is>
          <t>Prioritize</t>
        </is>
      </c>
      <c r="D252" s="16">
        <f>HYPERLINK('Link Config'!$B$2&amp;"plugins/vc/tasks/run-deal-fit-analysis.md","Run Deal Fit Analysis")</f>
        <v/>
      </c>
      <c r="E252" s="15" t="inlineStr">
        <is>
          <t>Score active origination candidates against the firm's deal-fit pillars before deeper screening.</t>
        </is>
      </c>
      <c r="F252" s="16">
        <f>HYPERLINK('Link Config'!$B$2&amp;"plugins/vc/agents/vc-sourcing-operator.md","Sourcing Operator")</f>
        <v/>
      </c>
      <c r="G252" s="16">
        <f>HYPERLINK('Link Config'!$B$2&amp;"plugins/vc/skills/vc-sourcing-verdict-and-screening/SKILL.md","VC Sourcing Verdict &amp; Screening")</f>
        <v/>
      </c>
      <c r="H252" s="16">
        <f>HYPERLINK('Link Config'!$B$2&amp;"plugins/vc/alludium/documents/origination/sourcing-scoring-rubric.md","Sourcing Scoring Rubric (methodology, to deal_fit_artifact_id)")</f>
        <v/>
      </c>
      <c r="I252" s="15" t="inlineStr">
        <is>
          <t>None declared</t>
        </is>
      </c>
      <c r="J252" s="15" t="inlineStr">
        <is>
          <t>run-deal-fit-analysis</t>
        </is>
      </c>
      <c r="K252" s="15" t="inlineStr">
        <is>
          <t>project_instance</t>
        </is>
      </c>
    </row>
    <row r="253" ht="18" customHeight="1" s="12">
      <c r="A253" s="15" t="inlineStr"/>
      <c r="B253" s="15" t="inlineStr">
        <is>
          <t>Origination Pipeline</t>
        </is>
      </c>
      <c r="C253" s="15" t="inlineStr">
        <is>
          <t>Prioritize</t>
        </is>
      </c>
      <c r="D253" s="16">
        <f>HYPERLINK('Link Config'!$B$2&amp;"plugins/vc/tasks/run-deal-fit-analysis.md","Run Deal Fit Analysis")</f>
        <v/>
      </c>
      <c r="E253" s="15" t="inlineStr">
        <is>
          <t>Score active origination candidates against the firm's deal-fit pillars before deeper screening.</t>
        </is>
      </c>
      <c r="F253" s="16">
        <f>HYPERLINK('Link Config'!$B$2&amp;"plugins/vc/agents/vc-sourcing-operator.md","Sourcing Operator")</f>
        <v/>
      </c>
      <c r="G253" s="16">
        <f>HYPERLINK('Link Config'!$B$2&amp;"plugins/vc/skills/investment-screening-framework/SKILL.md","Investment Screening Framework")</f>
        <v/>
      </c>
      <c r="H253" s="16">
        <f>HYPERLINK('Link Config'!$B$2&amp;"plugins/vc/alludium/documents/shared/investment-screening-framework.md","Investment Screening Framework (methodology)")</f>
        <v/>
      </c>
      <c r="I253" s="15" t="inlineStr">
        <is>
          <t>None declared</t>
        </is>
      </c>
      <c r="J253" s="15" t="inlineStr">
        <is>
          <t>run-deal-fit-analysis</t>
        </is>
      </c>
      <c r="K253" s="15" t="inlineStr">
        <is>
          <t>project_instance</t>
        </is>
      </c>
    </row>
    <row r="254" ht="18" customHeight="1" s="12">
      <c r="A254" s="15" t="inlineStr"/>
      <c r="B254" s="15" t="inlineStr">
        <is>
          <t>Origination Pipeline</t>
        </is>
      </c>
      <c r="C254" s="15" t="inlineStr">
        <is>
          <t>Prioritize</t>
        </is>
      </c>
      <c r="D254" s="16">
        <f>HYPERLINK('Link Config'!$B$2&amp;"plugins/vc/tasks/run-deal-fit-analysis.md","Run Deal Fit Analysis")</f>
        <v/>
      </c>
      <c r="E254" s="15" t="inlineStr">
        <is>
          <t>Score active origination candidates against the firm's deal-fit pillars before deeper screening.</t>
        </is>
      </c>
      <c r="F254" s="16">
        <f>HYPERLINK('Link Config'!$B$2&amp;"plugins/vc/agents/vc-sourcing-operator.md","Sourcing Operator")</f>
        <v/>
      </c>
      <c r="G254" s="16">
        <f>HYPERLINK('Link Config'!$B$2&amp;"plugins/vc/skills/citation-enforcement/SKILL.md","Citation Enforcement")</f>
        <v/>
      </c>
      <c r="H254" s="16">
        <f>HYPERLINK('Link Config'!$B$2&amp;"plugins/vc/alludium/documents/shared/template-use-guidance.md","Template Use Guidance (operating_guidance)")</f>
        <v/>
      </c>
      <c r="I254" s="15" t="inlineStr">
        <is>
          <t>None declared</t>
        </is>
      </c>
      <c r="J254" s="15" t="inlineStr">
        <is>
          <t>run-deal-fit-analysis</t>
        </is>
      </c>
      <c r="K254" s="15" t="inlineStr">
        <is>
          <t>project_instance</t>
        </is>
      </c>
    </row>
    <row r="255" ht="18" customHeight="1" s="12">
      <c r="A255" s="15" t="inlineStr"/>
      <c r="B255" s="15" t="inlineStr">
        <is>
          <t>Origination Pipeline</t>
        </is>
      </c>
      <c r="C255" s="15" t="inlineStr">
        <is>
          <t>Prioritize</t>
        </is>
      </c>
      <c r="D255" s="16">
        <f>HYPERLINK('Link Config'!$B$2&amp;"plugins/vc/tasks/screen-active-sourcing-candidates.md","Screen Active Sourcing Candidate")</f>
        <v/>
      </c>
      <c r="E255" s="15" t="inlineStr">
        <is>
          <t>Run an origination-specific thesis screen on active Meet, IC-Summary, or Reach out candidates.</t>
        </is>
      </c>
      <c r="F255" s="16">
        <f>HYPERLINK('Link Config'!$B$2&amp;"plugins/vc/agents/vc-sourcing-operator.md","Sourcing Operator")</f>
        <v/>
      </c>
      <c r="G255" s="16">
        <f>HYPERLINK('Link Config'!$B$2&amp;"plugins/vc/skills/vc-sourcing-verdict-and-screening/SKILL.md","VC Sourcing Verdict &amp; Screening")</f>
        <v/>
      </c>
      <c r="H255" s="16">
        <f>HYPERLINK('Link Config'!$B$2&amp;"plugins/vc/alludium/documents/origination/sourcing-scoring-rubric.md","Sourcing Scoring Rubric (methodology, to screening_artifact_id)")</f>
        <v/>
      </c>
      <c r="I255" s="15" t="inlineStr">
        <is>
          <t>None declared</t>
        </is>
      </c>
      <c r="J255" s="15" t="inlineStr">
        <is>
          <t>screen-active-sourcing-candidates</t>
        </is>
      </c>
      <c r="K255" s="15" t="inlineStr">
        <is>
          <t>project_instance</t>
        </is>
      </c>
    </row>
    <row r="256" ht="18" customHeight="1" s="12">
      <c r="A256" s="15" t="inlineStr"/>
      <c r="B256" s="15" t="inlineStr">
        <is>
          <t>Origination Pipeline</t>
        </is>
      </c>
      <c r="C256" s="15" t="inlineStr">
        <is>
          <t>Prioritize</t>
        </is>
      </c>
      <c r="D256" s="16">
        <f>HYPERLINK('Link Config'!$B$2&amp;"plugins/vc/tasks/screen-active-sourcing-candidates.md","Screen Active Sourcing Candidate")</f>
        <v/>
      </c>
      <c r="E256" s="15" t="inlineStr">
        <is>
          <t>Run an origination-specific thesis screen on active Meet, IC-Summary, or Reach out candidates.</t>
        </is>
      </c>
      <c r="F256" s="16">
        <f>HYPERLINK('Link Config'!$B$2&amp;"plugins/vc/agents/vc-sourcing-operator.md","Sourcing Operator")</f>
        <v/>
      </c>
      <c r="G256" s="16">
        <f>HYPERLINK('Link Config'!$B$2&amp;"plugins/vc/skills/citation-enforcement/SKILL.md","Citation Enforcement")</f>
        <v/>
      </c>
      <c r="H256" s="16">
        <f>HYPERLINK('Link Config'!$B$2&amp;"plugins/vc/alludium/documents/origination/origination-source-strategy-guide.md","Origination Source Strategy Guide (methodology)")</f>
        <v/>
      </c>
      <c r="I256" s="15" t="inlineStr">
        <is>
          <t>None declared</t>
        </is>
      </c>
      <c r="J256" s="15" t="inlineStr">
        <is>
          <t>screen-active-sourcing-candidates</t>
        </is>
      </c>
      <c r="K256" s="15" t="inlineStr">
        <is>
          <t>project_instance</t>
        </is>
      </c>
    </row>
    <row r="257" ht="18" customHeight="1" s="12">
      <c r="A257" s="15" t="inlineStr"/>
      <c r="B257" s="15" t="inlineStr">
        <is>
          <t>Origination Pipeline</t>
        </is>
      </c>
      <c r="C257" s="15" t="inlineStr">
        <is>
          <t>Prioritize</t>
        </is>
      </c>
      <c r="D257" s="16">
        <f>HYPERLINK('Link Config'!$B$2&amp;"plugins/vc/tasks/screen-active-sourcing-candidates.md","Screen Active Sourcing Candidate")</f>
        <v/>
      </c>
      <c r="E257" s="15" t="inlineStr">
        <is>
          <t>Run an origination-specific thesis screen on active Meet, IC-Summary, or Reach out candidates.</t>
        </is>
      </c>
      <c r="F257" s="16">
        <f>HYPERLINK('Link Config'!$B$2&amp;"plugins/vc/agents/vc-sourcing-operator.md","Sourcing Operator")</f>
        <v/>
      </c>
      <c r="G257" s="16">
        <f>HYPERLINK('Link Config'!$B$2&amp;"plugins/vc/skills/investment-screening-framework/SKILL.md","Investment Screening Framework")</f>
        <v/>
      </c>
      <c r="H257" s="16">
        <f>HYPERLINK('Link Config'!$B$2&amp;"plugins/vc/alludium/documents/origination/dedupe-novelty-policy.md","Dedupe And Novelty Policy (policy)")</f>
        <v/>
      </c>
      <c r="I257" s="15" t="inlineStr">
        <is>
          <t>None declared</t>
        </is>
      </c>
      <c r="J257" s="15" t="inlineStr">
        <is>
          <t>screen-active-sourcing-candidates</t>
        </is>
      </c>
      <c r="K257" s="15" t="inlineStr">
        <is>
          <t>project_instance</t>
        </is>
      </c>
    </row>
    <row r="258" ht="18" customHeight="1" s="12">
      <c r="A258" s="15" t="inlineStr"/>
      <c r="B258" s="15" t="inlineStr">
        <is>
          <t>Origination Pipeline</t>
        </is>
      </c>
      <c r="C258" s="15" t="inlineStr">
        <is>
          <t>Prioritize</t>
        </is>
      </c>
      <c r="D258" s="16">
        <f>HYPERLINK('Link Config'!$B$2&amp;"plugins/vc/tasks/screen-active-sourcing-candidates.md","Screen Active Sourcing Candidate")</f>
        <v/>
      </c>
      <c r="E258" s="15" t="inlineStr">
        <is>
          <t>Run an origination-specific thesis screen on active Meet, IC-Summary, or Reach out candidates.</t>
        </is>
      </c>
      <c r="F258" s="16">
        <f>HYPERLINK('Link Config'!$B$2&amp;"plugins/vc/agents/vc-sourcing-operator.md","Sourcing Operator")</f>
        <v/>
      </c>
      <c r="G258" s="15" t="inlineStr"/>
      <c r="H258" s="16">
        <f>HYPERLINK('Link Config'!$B$2&amp;"plugins/vc/alludium/documents/shared/template-use-guidance.md","Template Use Guidance (operating_guidance)")</f>
        <v/>
      </c>
      <c r="I258" s="15" t="inlineStr">
        <is>
          <t>None declared</t>
        </is>
      </c>
      <c r="J258" s="15" t="inlineStr">
        <is>
          <t>screen-active-sourcing-candidates</t>
        </is>
      </c>
      <c r="K258" s="15" t="inlineStr">
        <is>
          <t>project_instance</t>
        </is>
      </c>
    </row>
    <row r="259" ht="18" customHeight="1" s="12">
      <c r="A259" s="15" t="inlineStr"/>
      <c r="B259" s="15" t="inlineStr">
        <is>
          <t>Origination Pipeline</t>
        </is>
      </c>
      <c r="C259" s="15" t="inlineStr">
        <is>
          <t>Prioritize</t>
        </is>
      </c>
      <c r="D259" s="16">
        <f>HYPERLINK('Link Config'!$B$2&amp;"plugins/vc/tasks/review-unicorn-signature.md","Review Unicorn Signature")</f>
        <v/>
      </c>
      <c r="E259" s="15" t="inlineStr">
        <is>
          <t>Stress-test strong origination candidates for venture-scale shape before prospect-summary preparation.</t>
        </is>
      </c>
      <c r="F259" s="16">
        <f>HYPERLINK('Link Config'!$B$2&amp;"plugins/vc/agents/vc-sourcing-operator.md","Sourcing Operator")</f>
        <v/>
      </c>
      <c r="G259" s="16">
        <f>HYPERLINK('Link Config'!$B$2&amp;"plugins/vc/skills/vc-sourcing-verdict-and-screening/SKILL.md","VC Sourcing Verdict &amp; Screening")</f>
        <v/>
      </c>
      <c r="H259" s="16">
        <f>HYPERLINK('Link Config'!$B$2&amp;"plugins/vc/alludium/documents/origination/sourcing-scoring-rubric.md","Sourcing Scoring Rubric (methodology, to unicorn_signature_artifact_id)")</f>
        <v/>
      </c>
      <c r="I259" s="15" t="inlineStr">
        <is>
          <t>None declared</t>
        </is>
      </c>
      <c r="J259" s="15" t="inlineStr">
        <is>
          <t>review-unicorn-signature</t>
        </is>
      </c>
      <c r="K259" s="15" t="inlineStr">
        <is>
          <t>project_instance</t>
        </is>
      </c>
    </row>
    <row r="260" ht="18" customHeight="1" s="12">
      <c r="A260" s="15" t="inlineStr"/>
      <c r="B260" s="15" t="inlineStr">
        <is>
          <t>Origination Pipeline</t>
        </is>
      </c>
      <c r="C260" s="15" t="inlineStr">
        <is>
          <t>Prioritize</t>
        </is>
      </c>
      <c r="D260" s="16">
        <f>HYPERLINK('Link Config'!$B$2&amp;"plugins/vc/tasks/review-unicorn-signature.md","Review Unicorn Signature")</f>
        <v/>
      </c>
      <c r="E260" s="15" t="inlineStr">
        <is>
          <t>Stress-test strong origination candidates for venture-scale shape before prospect-summary preparation.</t>
        </is>
      </c>
      <c r="F260" s="16">
        <f>HYPERLINK('Link Config'!$B$2&amp;"plugins/vc/agents/vc-sourcing-operator.md","Sourcing Operator")</f>
        <v/>
      </c>
      <c r="G260" s="16">
        <f>HYPERLINK('Link Config'!$B$2&amp;"plugins/vc/skills/vc-origination-ic-summary-preparation/SKILL.md","Origination Prospect Summary Preparation")</f>
        <v/>
      </c>
      <c r="H260" s="16">
        <f>HYPERLINK('Link Config'!$B$2&amp;"plugins/vc/alludium/documents/origination/sourcing-ic-summary-template.md","Prospect Summary Template (operating_guidance)")</f>
        <v/>
      </c>
      <c r="I260" s="15" t="inlineStr">
        <is>
          <t>None declared</t>
        </is>
      </c>
      <c r="J260" s="15" t="inlineStr">
        <is>
          <t>review-unicorn-signature</t>
        </is>
      </c>
      <c r="K260" s="15" t="inlineStr">
        <is>
          <t>project_instance</t>
        </is>
      </c>
    </row>
    <row r="261" ht="18" customHeight="1" s="12">
      <c r="A261" s="15" t="inlineStr"/>
      <c r="B261" s="15" t="inlineStr">
        <is>
          <t>Origination Pipeline</t>
        </is>
      </c>
      <c r="C261" s="15" t="inlineStr">
        <is>
          <t>Prioritize</t>
        </is>
      </c>
      <c r="D261" s="16">
        <f>HYPERLINK('Link Config'!$B$2&amp;"plugins/vc/tasks/review-unicorn-signature.md","Review Unicorn Signature")</f>
        <v/>
      </c>
      <c r="E261" s="15" t="inlineStr">
        <is>
          <t>Stress-test strong origination candidates for venture-scale shape before prospect-summary preparation.</t>
        </is>
      </c>
      <c r="F261" s="16">
        <f>HYPERLINK('Link Config'!$B$2&amp;"plugins/vc/agents/vc-sourcing-operator.md","Sourcing Operator")</f>
        <v/>
      </c>
      <c r="G261" s="16">
        <f>HYPERLINK('Link Config'!$B$2&amp;"plugins/vc/skills/citation-enforcement/SKILL.md","Citation Enforcement")</f>
        <v/>
      </c>
      <c r="H261" s="16">
        <f>HYPERLINK('Link Config'!$B$2&amp;"plugins/vc/alludium/documents/shared/template-use-guidance.md","Template Use Guidance (operating_guidance)")</f>
        <v/>
      </c>
      <c r="I261" s="15" t="inlineStr">
        <is>
          <t>None declared</t>
        </is>
      </c>
      <c r="J261" s="15" t="inlineStr">
        <is>
          <t>review-unicorn-signature</t>
        </is>
      </c>
      <c r="K261" s="15" t="inlineStr">
        <is>
          <t>project_instance</t>
        </is>
      </c>
    </row>
    <row r="262" ht="18" customHeight="1" s="12">
      <c r="A262" s="15" t="inlineStr"/>
      <c r="B262" s="15" t="inlineStr">
        <is>
          <t>Origination Pipeline</t>
        </is>
      </c>
      <c r="C262" s="15" t="inlineStr">
        <is>
          <t>Outreach Prep</t>
        </is>
      </c>
      <c r="D262" s="16">
        <f>HYPERLINK('Link Config'!$B$2&amp;"plugins/vc/tasks/prepare-sourcing-ic-summary.md","Prepare Prospect Summary")</f>
        <v/>
      </c>
      <c r="E262" s="15" t="inlineStr">
        <is>
          <t>Prepare a concise prospect-level sourcing summary for one prioritized origination candidate before outreach or promotion.</t>
        </is>
      </c>
      <c r="F262" s="16">
        <f>HYPERLINK('Link Config'!$B$2&amp;"plugins/vc/agents/vc-sourcing-operator.md","Sourcing Operator")</f>
        <v/>
      </c>
      <c r="G262" s="16">
        <f>HYPERLINK('Link Config'!$B$2&amp;"plugins/vc/skills/vc-origination-ic-summary-preparation/SKILL.md","Origination Prospect Summary Preparation")</f>
        <v/>
      </c>
      <c r="H262" s="16">
        <f>HYPERLINK('Link Config'!$B$2&amp;"plugins/vc/alludium/documents/origination/sourcing-ic-summary-template.md","Prospect Summary Template (output_template, to prospect_summary_artifact_id)")</f>
        <v/>
      </c>
      <c r="I262" s="15" t="inlineStr">
        <is>
          <t>None declared</t>
        </is>
      </c>
      <c r="J262" s="15" t="inlineStr">
        <is>
          <t>prepare-sourcing-ic-summary</t>
        </is>
      </c>
      <c r="K262" s="15" t="inlineStr">
        <is>
          <t>project_instance</t>
        </is>
      </c>
    </row>
    <row r="263" ht="18" customHeight="1" s="12">
      <c r="A263" s="15" t="inlineStr"/>
      <c r="B263" s="15" t="inlineStr">
        <is>
          <t>Origination Pipeline</t>
        </is>
      </c>
      <c r="C263" s="15" t="inlineStr">
        <is>
          <t>Outreach Prep</t>
        </is>
      </c>
      <c r="D263" s="16">
        <f>HYPERLINK('Link Config'!$B$2&amp;"plugins/vc/tasks/prepare-sourcing-ic-summary.md","Prepare Prospect Summary")</f>
        <v/>
      </c>
      <c r="E263" s="15" t="inlineStr">
        <is>
          <t>Prepare a concise prospect-level sourcing summary for one prioritized origination candidate before outreach or promotion.</t>
        </is>
      </c>
      <c r="F263" s="16">
        <f>HYPERLINK('Link Config'!$B$2&amp;"plugins/vc/agents/vc-sourcing-operator.md","Sourcing Operator")</f>
        <v/>
      </c>
      <c r="G263" s="16">
        <f>HYPERLINK('Link Config'!$B$2&amp;"plugins/vc/skills/citation-enforcement/SKILL.md","Citation Enforcement")</f>
        <v/>
      </c>
      <c r="H263" s="16">
        <f>HYPERLINK('Link Config'!$B$2&amp;"plugins/vc/alludium/documents/origination/origination-source-strategy-guide.md","Origination Source Strategy Guide (methodology)")</f>
        <v/>
      </c>
      <c r="I263" s="15" t="inlineStr">
        <is>
          <t>None declared</t>
        </is>
      </c>
      <c r="J263" s="15" t="inlineStr">
        <is>
          <t>prepare-sourcing-ic-summary</t>
        </is>
      </c>
      <c r="K263" s="15" t="inlineStr">
        <is>
          <t>project_instance</t>
        </is>
      </c>
    </row>
    <row r="264" ht="18" customHeight="1" s="12">
      <c r="A264" s="15" t="inlineStr"/>
      <c r="B264" s="15" t="inlineStr">
        <is>
          <t>Origination Pipeline</t>
        </is>
      </c>
      <c r="C264" s="15" t="inlineStr">
        <is>
          <t>Outreach Prep</t>
        </is>
      </c>
      <c r="D264" s="16">
        <f>HYPERLINK('Link Config'!$B$2&amp;"plugins/vc/tasks/prepare-sourcing-ic-summary.md","Prepare Prospect Summary")</f>
        <v/>
      </c>
      <c r="E264" s="15" t="inlineStr">
        <is>
          <t>Prepare a concise prospect-level sourcing summary for one prioritized origination candidate before outreach or promotion.</t>
        </is>
      </c>
      <c r="F264" s="16">
        <f>HYPERLINK('Link Config'!$B$2&amp;"plugins/vc/agents/vc-sourcing-operator.md","Sourcing Operator")</f>
        <v/>
      </c>
      <c r="G264" s="15" t="inlineStr"/>
      <c r="H264" s="16">
        <f>HYPERLINK('Link Config'!$B$2&amp;"plugins/vc/alludium/documents/shared/evidence-citation-style-guide.md","Evidence And Citation Style Guide (style_guide)")</f>
        <v/>
      </c>
      <c r="I264" s="15" t="inlineStr">
        <is>
          <t>None declared</t>
        </is>
      </c>
      <c r="J264" s="15" t="inlineStr">
        <is>
          <t>prepare-sourcing-ic-summary</t>
        </is>
      </c>
      <c r="K264" s="15" t="inlineStr">
        <is>
          <t>project_instance</t>
        </is>
      </c>
    </row>
    <row r="265" ht="18" customHeight="1" s="12">
      <c r="A265" s="15" t="inlineStr"/>
      <c r="B265" s="15" t="inlineStr">
        <is>
          <t>Origination Pipeline</t>
        </is>
      </c>
      <c r="C265" s="15" t="inlineStr">
        <is>
          <t>Outreach Prep</t>
        </is>
      </c>
      <c r="D265" s="16">
        <f>HYPERLINK('Link Config'!$B$2&amp;"plugins/vc/tasks/prepare-sourcing-ic-summary.md","Prepare Prospect Summary")</f>
        <v/>
      </c>
      <c r="E265" s="15" t="inlineStr">
        <is>
          <t>Prepare a concise prospect-level sourcing summary for one prioritized origination candidate before outreach or promotion.</t>
        </is>
      </c>
      <c r="F265" s="16">
        <f>HYPERLINK('Link Config'!$B$2&amp;"plugins/vc/agents/vc-sourcing-operator.md","Sourcing Operator")</f>
        <v/>
      </c>
      <c r="G265" s="15" t="inlineStr"/>
      <c r="H265" s="16">
        <f>HYPERLINK('Link Config'!$B$2&amp;"plugins/vc/alludium/documents/shared/template-use-guidance.md","Template Use Guidance (operating_guidance)")</f>
        <v/>
      </c>
      <c r="I265" s="15" t="inlineStr">
        <is>
          <t>None declared</t>
        </is>
      </c>
      <c r="J265" s="15" t="inlineStr">
        <is>
          <t>prepare-sourcing-ic-summary</t>
        </is>
      </c>
      <c r="K265" s="15" t="inlineStr">
        <is>
          <t>project_instance</t>
        </is>
      </c>
    </row>
    <row r="266" ht="18" customHeight="1" s="12">
      <c r="A266" s="15" t="inlineStr">
        <is>
          <t>Jay</t>
        </is>
      </c>
      <c r="B266" s="15" t="inlineStr">
        <is>
          <t>Origination Pipeline</t>
        </is>
      </c>
      <c r="C266" s="15" t="inlineStr">
        <is>
          <t>Outreach Prep</t>
        </is>
      </c>
      <c r="D266" s="16">
        <f>HYPERLINK('Link Config'!$B$2&amp;"plugins/vc/tasks/prepare-outreach-draft-queue.md","Prepare Outreach Draft Queue")</f>
        <v/>
      </c>
      <c r="E266" s="15" t="inlineStr">
        <is>
          <t>Draft founder outreach notes for active candidates while leaving send decisions to humans.</t>
        </is>
      </c>
      <c r="F266" s="16">
        <f>HYPERLINK('Link Config'!$B$2&amp;"plugins/vc/agents/vc-sourcing-operator.md","Sourcing Operator")</f>
        <v/>
      </c>
      <c r="G266" s="16">
        <f>HYPERLINK('Link Config'!$B$2&amp;"plugins/vc/skills/vc-outreach-draft-queue/SKILL.md","VC Outreach Draft Queue")</f>
        <v/>
      </c>
      <c r="H266" s="16">
        <f>HYPERLINK('Link Config'!$B$2&amp;"plugins/vc/alludium/documents/origination/outreach-queue-template.md","Outreach Queue Template (output_template, to outreach_queue_artifact_id)")</f>
        <v/>
      </c>
      <c r="I266" s="15" t="inlineStr">
        <is>
          <t>None declared</t>
        </is>
      </c>
      <c r="J266" s="15" t="inlineStr">
        <is>
          <t>prepare-outreach-draft-queue</t>
        </is>
      </c>
      <c r="K266" s="15" t="inlineStr">
        <is>
          <t>project_instance</t>
        </is>
      </c>
    </row>
    <row r="267" ht="18" customHeight="1" s="12">
      <c r="A267" s="15" t="inlineStr">
        <is>
          <t>Jay</t>
        </is>
      </c>
      <c r="B267" s="15" t="inlineStr">
        <is>
          <t>Origination Pipeline</t>
        </is>
      </c>
      <c r="C267" s="15" t="inlineStr">
        <is>
          <t>Outreach Prep</t>
        </is>
      </c>
      <c r="D267" s="16">
        <f>HYPERLINK('Link Config'!$B$2&amp;"plugins/vc/tasks/prepare-outreach-draft-queue.md","Prepare Outreach Draft Queue")</f>
        <v/>
      </c>
      <c r="E267" s="15" t="inlineStr">
        <is>
          <t>Draft founder outreach notes for active candidates while leaving send decisions to humans.</t>
        </is>
      </c>
      <c r="F267" s="16">
        <f>HYPERLINK('Link Config'!$B$2&amp;"plugins/vc/agents/vc-sourcing-operator.md","Sourcing Operator")</f>
        <v/>
      </c>
      <c r="G267" s="16">
        <f>HYPERLINK('Link Config'!$B$2&amp;"plugins/vc/skills/citation-enforcement/SKILL.md","Citation Enforcement")</f>
        <v/>
      </c>
      <c r="H267" s="16">
        <f>HYPERLINK('Link Config'!$B$2&amp;"plugins/vc/alludium/documents/shared/template-use-guidance.md","Template Use Guidance (operating_guidance)")</f>
        <v/>
      </c>
      <c r="I267" s="15" t="inlineStr">
        <is>
          <t>None declared</t>
        </is>
      </c>
      <c r="J267" s="15" t="inlineStr">
        <is>
          <t>prepare-outreach-draft-queue</t>
        </is>
      </c>
      <c r="K267" s="15" t="inlineStr">
        <is>
          <t>project_instance</t>
        </is>
      </c>
    </row>
    <row r="268" ht="18" customHeight="1" s="12">
      <c r="A268" s="15" t="inlineStr">
        <is>
          <t>Jay</t>
        </is>
      </c>
      <c r="B268" s="15" t="inlineStr">
        <is>
          <t>Origination Pipeline</t>
        </is>
      </c>
      <c r="C268" s="15" t="inlineStr">
        <is>
          <t>Outreach Prep</t>
        </is>
      </c>
      <c r="D268" s="16">
        <f>HYPERLINK('Link Config'!$B$2&amp;"plugins/vc/tasks/prepare-outreach-draft-queue.md","Prepare Outreach Draft Queue")</f>
        <v/>
      </c>
      <c r="E268" s="15" t="inlineStr">
        <is>
          <t>Draft founder outreach notes for active candidates while leaving send decisions to humans.</t>
        </is>
      </c>
      <c r="F268" s="16">
        <f>HYPERLINK('Link Config'!$B$2&amp;"plugins/vc/agents/vc-sourcing-operator.md","Sourcing Operator")</f>
        <v/>
      </c>
      <c r="G268" s="16">
        <f>HYPERLINK('Link Config'!$B$2&amp;"plugins/vc/skills/founder-outreach-and-intro-paths/SKILL.md","Founder Outreach &amp; Intro Paths")</f>
        <v/>
      </c>
      <c r="H268" s="15" t="inlineStr"/>
      <c r="I268" s="15" t="inlineStr">
        <is>
          <t>None declared</t>
        </is>
      </c>
      <c r="J268" s="15" t="inlineStr">
        <is>
          <t>prepare-outreach-draft-queue</t>
        </is>
      </c>
      <c r="K268" s="15" t="inlineStr">
        <is>
          <t>project_instance</t>
        </is>
      </c>
    </row>
    <row r="269" ht="18" customHeight="1" s="12">
      <c r="A269" s="15" t="inlineStr"/>
      <c r="B269" s="15" t="inlineStr">
        <is>
          <t>Origination Pipeline</t>
        </is>
      </c>
      <c r="C269" s="15" t="inlineStr">
        <is>
          <t>Contact Attempts</t>
        </is>
      </c>
      <c r="D269" s="16">
        <f>HYPERLINK('Link Config'!$B$2&amp;"plugins/vc/tasks/record-linkedin-connection-attempt.md","Record LinkedIn Connection Attempt")</f>
        <v/>
      </c>
      <c r="E269" s="15" t="inlineStr">
        <is>
          <t>Capture a human-approved LinkedIn connection attempt and update the outbound state without sending messages automatically.</t>
        </is>
      </c>
      <c r="F269" s="16">
        <f>HYPERLINK('Link Config'!$B$2&amp;"plugins/vc/agents/vc-sourcing-operator.md","Sourcing Operator")</f>
        <v/>
      </c>
      <c r="G269" s="16">
        <f>HYPERLINK('Link Config'!$B$2&amp;"plugins/vc/skills/vc-outreach-draft-queue/SKILL.md","VC Outreach Draft Queue")</f>
        <v/>
      </c>
      <c r="H269" s="16">
        <f>HYPERLINK('Link Config'!$B$2&amp;"plugins/vc/alludium/documents/origination/outreach-queue-template.md","Outreach Queue Template (output_template, to connection_record_artifact_id)")</f>
        <v/>
      </c>
      <c r="I269" s="15" t="inlineStr">
        <is>
          <t>None declared</t>
        </is>
      </c>
      <c r="J269" s="15" t="inlineStr">
        <is>
          <t>record-linkedin-connection-attempt</t>
        </is>
      </c>
      <c r="K269" s="15" t="inlineStr">
        <is>
          <t>project_instance</t>
        </is>
      </c>
    </row>
    <row r="270" ht="18" customHeight="1" s="12">
      <c r="A270" s="15" t="inlineStr"/>
      <c r="B270" s="15" t="inlineStr">
        <is>
          <t>Origination Pipeline</t>
        </is>
      </c>
      <c r="C270" s="15" t="inlineStr">
        <is>
          <t>Contact Attempts</t>
        </is>
      </c>
      <c r="D270" s="16">
        <f>HYPERLINK('Link Config'!$B$2&amp;"plugins/vc/tasks/record-linkedin-connection-attempt.md","Record LinkedIn Connection Attempt")</f>
        <v/>
      </c>
      <c r="E270" s="15" t="inlineStr">
        <is>
          <t>Capture a human-approved LinkedIn connection attempt and update the outbound state without sending messages automatically.</t>
        </is>
      </c>
      <c r="F270" s="16">
        <f>HYPERLINK('Link Config'!$B$2&amp;"plugins/vc/agents/vc-sourcing-operator.md","Sourcing Operator")</f>
        <v/>
      </c>
      <c r="G270" s="16">
        <f>HYPERLINK('Link Config'!$B$2&amp;"plugins/vc/skills/founder-outreach-and-intro-paths/SKILL.md","Founder Outreach &amp; Intro Paths")</f>
        <v/>
      </c>
      <c r="H270" s="16">
        <f>HYPERLINK('Link Config'!$B$2&amp;"plugins/vc/alludium/documents/shared/template-use-guidance.md","Template Use Guidance (operating_guidance)")</f>
        <v/>
      </c>
      <c r="I270" s="15" t="inlineStr">
        <is>
          <t>None declared</t>
        </is>
      </c>
      <c r="J270" s="15" t="inlineStr">
        <is>
          <t>record-linkedin-connection-attempt</t>
        </is>
      </c>
      <c r="K270" s="15" t="inlineStr">
        <is>
          <t>project_instance</t>
        </is>
      </c>
    </row>
    <row r="271" ht="18" customHeight="1" s="12">
      <c r="A271" s="15" t="inlineStr"/>
      <c r="B271" s="15" t="inlineStr">
        <is>
          <t>Origination Pipeline</t>
        </is>
      </c>
      <c r="C271" s="15" t="inlineStr">
        <is>
          <t>Contact Attempts</t>
        </is>
      </c>
      <c r="D271" s="16">
        <f>HYPERLINK('Link Config'!$B$2&amp;"plugins/vc/tasks/record-linkedin-connection-attempt.md","Record LinkedIn Connection Attempt")</f>
        <v/>
      </c>
      <c r="E271" s="15" t="inlineStr">
        <is>
          <t>Capture a human-approved LinkedIn connection attempt and update the outbound state without sending messages automatically.</t>
        </is>
      </c>
      <c r="F271" s="16">
        <f>HYPERLINK('Link Config'!$B$2&amp;"plugins/vc/agents/vc-sourcing-operator.md","Sourcing Operator")</f>
        <v/>
      </c>
      <c r="G271" s="16">
        <f>HYPERLINK('Link Config'!$B$2&amp;"plugins/vc/skills/citation-enforcement/SKILL.md","Citation Enforcement")</f>
        <v/>
      </c>
      <c r="H271" s="15" t="inlineStr"/>
      <c r="I271" s="15" t="inlineStr">
        <is>
          <t>None declared</t>
        </is>
      </c>
      <c r="J271" s="15" t="inlineStr">
        <is>
          <t>record-linkedin-connection-attempt</t>
        </is>
      </c>
      <c r="K271" s="15" t="inlineStr">
        <is>
          <t>project_instance</t>
        </is>
      </c>
    </row>
    <row r="272" ht="18" customHeight="1" s="12">
      <c r="A272" s="15" t="inlineStr"/>
      <c r="B272" s="15" t="inlineStr">
        <is>
          <t>Origination Pipeline</t>
        </is>
      </c>
      <c r="C272" s="15" t="inlineStr">
        <is>
          <t>Contact Attempts</t>
        </is>
      </c>
      <c r="D272" s="16">
        <f>HYPERLINK('Link Config'!$B$2&amp;"plugins/vc/tasks/prepare-initial-linkedin-reachout.md","Prepare Initial LinkedIn Reachout")</f>
        <v/>
      </c>
      <c r="E272" s="15" t="inlineStr">
        <is>
          <t>Draft the first LinkedIn message after a candidate has been approved for outbound engagement.</t>
        </is>
      </c>
      <c r="F272" s="16">
        <f>HYPERLINK('Link Config'!$B$2&amp;"plugins/vc/agents/vc-sourcing-operator.md","Sourcing Operator")</f>
        <v/>
      </c>
      <c r="G272" s="16">
        <f>HYPERLINK('Link Config'!$B$2&amp;"plugins/vc/skills/vc-outreach-draft-queue/SKILL.md","VC Outreach Draft Queue")</f>
        <v/>
      </c>
      <c r="H272" s="16">
        <f>HYPERLINK('Link Config'!$B$2&amp;"plugins/vc/alludium/documents/origination/outreach-queue-template.md","Outreach Queue Template (output_template, to initial_linkedin_reachout_artifact_id)")</f>
        <v/>
      </c>
      <c r="I272" s="15" t="inlineStr">
        <is>
          <t>None declared</t>
        </is>
      </c>
      <c r="J272" s="15" t="inlineStr">
        <is>
          <t>prepare-initial-linkedin-reachout</t>
        </is>
      </c>
      <c r="K272" s="15" t="inlineStr">
        <is>
          <t>project_instance</t>
        </is>
      </c>
    </row>
    <row r="273" ht="18" customHeight="1" s="12">
      <c r="A273" s="15" t="inlineStr"/>
      <c r="B273" s="15" t="inlineStr">
        <is>
          <t>Origination Pipeline</t>
        </is>
      </c>
      <c r="C273" s="15" t="inlineStr">
        <is>
          <t>Contact Attempts</t>
        </is>
      </c>
      <c r="D273" s="16">
        <f>HYPERLINK('Link Config'!$B$2&amp;"plugins/vc/tasks/prepare-initial-linkedin-reachout.md","Prepare Initial LinkedIn Reachout")</f>
        <v/>
      </c>
      <c r="E273" s="15" t="inlineStr">
        <is>
          <t>Draft the first LinkedIn message after a candidate has been approved for outbound engagement.</t>
        </is>
      </c>
      <c r="F273" s="16">
        <f>HYPERLINK('Link Config'!$B$2&amp;"plugins/vc/agents/vc-sourcing-operator.md","Sourcing Operator")</f>
        <v/>
      </c>
      <c r="G273" s="16">
        <f>HYPERLINK('Link Config'!$B$2&amp;"plugins/vc/skills/founder-outreach-and-intro-paths/SKILL.md","Founder Outreach &amp; Intro Paths")</f>
        <v/>
      </c>
      <c r="H273" s="16">
        <f>HYPERLINK('Link Config'!$B$2&amp;"plugins/vc/alludium/documents/origination/origination-source-strategy-guide.md","Origination Source Strategy Guide (methodology)")</f>
        <v/>
      </c>
      <c r="I273" s="15" t="inlineStr">
        <is>
          <t>None declared</t>
        </is>
      </c>
      <c r="J273" s="15" t="inlineStr">
        <is>
          <t>prepare-initial-linkedin-reachout</t>
        </is>
      </c>
      <c r="K273" s="15" t="inlineStr">
        <is>
          <t>project_instance</t>
        </is>
      </c>
    </row>
    <row r="274" ht="18" customHeight="1" s="12">
      <c r="A274" s="15" t="inlineStr"/>
      <c r="B274" s="15" t="inlineStr">
        <is>
          <t>Origination Pipeline</t>
        </is>
      </c>
      <c r="C274" s="15" t="inlineStr">
        <is>
          <t>Contact Attempts</t>
        </is>
      </c>
      <c r="D274" s="16">
        <f>HYPERLINK('Link Config'!$B$2&amp;"plugins/vc/tasks/prepare-initial-linkedin-reachout.md","Prepare Initial LinkedIn Reachout")</f>
        <v/>
      </c>
      <c r="E274" s="15" t="inlineStr">
        <is>
          <t>Draft the first LinkedIn message after a candidate has been approved for outbound engagement.</t>
        </is>
      </c>
      <c r="F274" s="16">
        <f>HYPERLINK('Link Config'!$B$2&amp;"plugins/vc/agents/vc-sourcing-operator.md","Sourcing Operator")</f>
        <v/>
      </c>
      <c r="G274" s="16">
        <f>HYPERLINK('Link Config'!$B$2&amp;"plugins/vc/skills/citation-enforcement/SKILL.md","Citation Enforcement")</f>
        <v/>
      </c>
      <c r="H274" s="16">
        <f>HYPERLINK('Link Config'!$B$2&amp;"plugins/vc/alludium/documents/shared/template-use-guidance.md","Template Use Guidance (operating_guidance)")</f>
        <v/>
      </c>
      <c r="I274" s="15" t="inlineStr">
        <is>
          <t>None declared</t>
        </is>
      </c>
      <c r="J274" s="15" t="inlineStr">
        <is>
          <t>prepare-initial-linkedin-reachout</t>
        </is>
      </c>
      <c r="K274" s="15" t="inlineStr">
        <is>
          <t>project_instance</t>
        </is>
      </c>
    </row>
    <row r="275" ht="18" customHeight="1" s="12">
      <c r="A275" s="15" t="inlineStr"/>
      <c r="B275" s="15" t="inlineStr">
        <is>
          <t>Origination Pipeline</t>
        </is>
      </c>
      <c r="C275" s="15" t="inlineStr">
        <is>
          <t>Contact Attempts</t>
        </is>
      </c>
      <c r="D275" s="16">
        <f>HYPERLINK('Link Config'!$B$2&amp;"plugins/vc/tasks/prepare-second-reachout-email.md","Prepare Second Reachout Email")</f>
        <v/>
      </c>
      <c r="E275" s="15" t="inlineStr">
        <is>
          <t>Draft a second-touch email for candidates with LinkedIn outreach sent and no response after the configured wait period.</t>
        </is>
      </c>
      <c r="F275" s="16">
        <f>HYPERLINK('Link Config'!$B$2&amp;"plugins/vc/agents/vc-sourcing-operator.md","Sourcing Operator")</f>
        <v/>
      </c>
      <c r="G275" s="16">
        <f>HYPERLINK('Link Config'!$B$2&amp;"plugins/vc/skills/vc-outreach-draft-queue/SKILL.md","VC Outreach Draft Queue")</f>
        <v/>
      </c>
      <c r="H275" s="16">
        <f>HYPERLINK('Link Config'!$B$2&amp;"plugins/vc/alludium/documents/origination/outreach-queue-template.md","Outreach Queue Template (output_template, to second_reachout_email_artifact_id)")</f>
        <v/>
      </c>
      <c r="I275" s="15" t="inlineStr">
        <is>
          <t>None declared</t>
        </is>
      </c>
      <c r="J275" s="15" t="inlineStr">
        <is>
          <t>prepare-second-reachout-email</t>
        </is>
      </c>
      <c r="K275" s="15" t="inlineStr">
        <is>
          <t>project_instance</t>
        </is>
      </c>
    </row>
    <row r="276" ht="18" customHeight="1" s="12">
      <c r="A276" s="15" t="inlineStr"/>
      <c r="B276" s="15" t="inlineStr">
        <is>
          <t>Origination Pipeline</t>
        </is>
      </c>
      <c r="C276" s="15" t="inlineStr">
        <is>
          <t>Contact Attempts</t>
        </is>
      </c>
      <c r="D276" s="16">
        <f>HYPERLINK('Link Config'!$B$2&amp;"plugins/vc/tasks/prepare-second-reachout-email.md","Prepare Second Reachout Email")</f>
        <v/>
      </c>
      <c r="E276" s="15" t="inlineStr">
        <is>
          <t>Draft a second-touch email for candidates with LinkedIn outreach sent and no response after the configured wait period.</t>
        </is>
      </c>
      <c r="F276" s="16">
        <f>HYPERLINK('Link Config'!$B$2&amp;"plugins/vc/agents/vc-sourcing-operator.md","Sourcing Operator")</f>
        <v/>
      </c>
      <c r="G276" s="16">
        <f>HYPERLINK('Link Config'!$B$2&amp;"plugins/vc/skills/founder-outreach-and-intro-paths/SKILL.md","Founder Outreach &amp; Intro Paths")</f>
        <v/>
      </c>
      <c r="H276" s="16">
        <f>HYPERLINK('Link Config'!$B$2&amp;"plugins/vc/alludium/documents/origination/origination-source-strategy-guide.md","Origination Source Strategy Guide (methodology)")</f>
        <v/>
      </c>
      <c r="I276" s="15" t="inlineStr">
        <is>
          <t>None declared</t>
        </is>
      </c>
      <c r="J276" s="15" t="inlineStr">
        <is>
          <t>prepare-second-reachout-email</t>
        </is>
      </c>
      <c r="K276" s="15" t="inlineStr">
        <is>
          <t>project_instance</t>
        </is>
      </c>
    </row>
    <row r="277" ht="18" customHeight="1" s="12">
      <c r="A277" s="15" t="inlineStr"/>
      <c r="B277" s="15" t="inlineStr">
        <is>
          <t>Origination Pipeline</t>
        </is>
      </c>
      <c r="C277" s="15" t="inlineStr">
        <is>
          <t>Contact Attempts</t>
        </is>
      </c>
      <c r="D277" s="16">
        <f>HYPERLINK('Link Config'!$B$2&amp;"plugins/vc/tasks/prepare-second-reachout-email.md","Prepare Second Reachout Email")</f>
        <v/>
      </c>
      <c r="E277" s="15" t="inlineStr">
        <is>
          <t>Draft a second-touch email for candidates with LinkedIn outreach sent and no response after the configured wait period.</t>
        </is>
      </c>
      <c r="F277" s="16">
        <f>HYPERLINK('Link Config'!$B$2&amp;"plugins/vc/agents/vc-sourcing-operator.md","Sourcing Operator")</f>
        <v/>
      </c>
      <c r="G277" s="16">
        <f>HYPERLINK('Link Config'!$B$2&amp;"plugins/vc/skills/citation-enforcement/SKILL.md","Citation Enforcement")</f>
        <v/>
      </c>
      <c r="H277" s="16">
        <f>HYPERLINK('Link Config'!$B$2&amp;"plugins/vc/alludium/documents/shared/template-use-guidance.md","Template Use Guidance (operating_guidance)")</f>
        <v/>
      </c>
      <c r="I277" s="15" t="inlineStr">
        <is>
          <t>None declared</t>
        </is>
      </c>
      <c r="J277" s="15" t="inlineStr">
        <is>
          <t>prepare-second-reachout-email</t>
        </is>
      </c>
      <c r="K277" s="15" t="inlineStr">
        <is>
          <t>project_instance</t>
        </is>
      </c>
    </row>
    <row r="278" ht="18" customHeight="1" s="12">
      <c r="A278" s="15" t="inlineStr"/>
      <c r="B278" s="15" t="inlineStr">
        <is>
          <t>Origination Pipeline</t>
        </is>
      </c>
      <c r="C278" s="15" t="inlineStr">
        <is>
          <t>Founder Engagement Screen</t>
        </is>
      </c>
      <c r="D278" s="16">
        <f>HYPERLINK('Link Config'!$B$2&amp;"plugins/vc/tasks/screen-founder-connected-candidates.md","Screen Founder-Connected Candidate")</f>
        <v/>
      </c>
      <c r="E278" s="15" t="inlineStr">
        <is>
          <t>Re-screen candidates after a founder connection adds direct context, before continuing outbound or promotion.</t>
        </is>
      </c>
      <c r="F278" s="16">
        <f>HYPERLINK('Link Config'!$B$2&amp;"plugins/vc/agents/vc-sourcing-operator.md","Sourcing Operator")</f>
        <v/>
      </c>
      <c r="G278" s="16">
        <f>HYPERLINK('Link Config'!$B$2&amp;"plugins/vc/skills/vc-sourcing-verdict-and-screening/SKILL.md","VC Sourcing Verdict &amp; Screening")</f>
        <v/>
      </c>
      <c r="H278" s="16">
        <f>HYPERLINK('Link Config'!$B$2&amp;"plugins/vc/alludium/documents/origination/sourcing-scoring-rubric.md","Sourcing Scoring Rubric (methodology, to founder_connected_screen_artifact_id)")</f>
        <v/>
      </c>
      <c r="I278" s="15" t="inlineStr">
        <is>
          <t>None declared</t>
        </is>
      </c>
      <c r="J278" s="15" t="inlineStr">
        <is>
          <t>screen-founder-connected-candidates</t>
        </is>
      </c>
      <c r="K278" s="15" t="inlineStr">
        <is>
          <t>project_instance</t>
        </is>
      </c>
    </row>
    <row r="279" ht="18" customHeight="1" s="12">
      <c r="A279" s="15" t="inlineStr"/>
      <c r="B279" s="15" t="inlineStr">
        <is>
          <t>Origination Pipeline</t>
        </is>
      </c>
      <c r="C279" s="15" t="inlineStr">
        <is>
          <t>Founder Engagement Screen</t>
        </is>
      </c>
      <c r="D279" s="16">
        <f>HYPERLINK('Link Config'!$B$2&amp;"plugins/vc/tasks/screen-founder-connected-candidates.md","Screen Founder-Connected Candidate")</f>
        <v/>
      </c>
      <c r="E279" s="15" t="inlineStr">
        <is>
          <t>Re-screen candidates after a founder connection adds direct context, before continuing outbound or promotion.</t>
        </is>
      </c>
      <c r="F279" s="16">
        <f>HYPERLINK('Link Config'!$B$2&amp;"plugins/vc/agents/vc-sourcing-operator.md","Sourcing Operator")</f>
        <v/>
      </c>
      <c r="G279" s="16">
        <f>HYPERLINK('Link Config'!$B$2&amp;"plugins/vc/skills/vc-outreach-draft-queue/SKILL.md","VC Outreach Draft Queue")</f>
        <v/>
      </c>
      <c r="H279" s="16">
        <f>HYPERLINK('Link Config'!$B$2&amp;"plugins/vc/alludium/documents/origination/outreach-queue-template.md","Outreach Queue Template (output_template)")</f>
        <v/>
      </c>
      <c r="I279" s="15" t="inlineStr">
        <is>
          <t>None declared</t>
        </is>
      </c>
      <c r="J279" s="15" t="inlineStr">
        <is>
          <t>screen-founder-connected-candidates</t>
        </is>
      </c>
      <c r="K279" s="15" t="inlineStr">
        <is>
          <t>project_instance</t>
        </is>
      </c>
    </row>
    <row r="280" ht="18" customHeight="1" s="12">
      <c r="A280" s="15" t="inlineStr"/>
      <c r="B280" s="15" t="inlineStr">
        <is>
          <t>Origination Pipeline</t>
        </is>
      </c>
      <c r="C280" s="15" t="inlineStr">
        <is>
          <t>Founder Engagement Screen</t>
        </is>
      </c>
      <c r="D280" s="16">
        <f>HYPERLINK('Link Config'!$B$2&amp;"plugins/vc/tasks/screen-founder-connected-candidates.md","Screen Founder-Connected Candidate")</f>
        <v/>
      </c>
      <c r="E280" s="15" t="inlineStr">
        <is>
          <t>Re-screen candidates after a founder connection adds direct context, before continuing outbound or promotion.</t>
        </is>
      </c>
      <c r="F280" s="16">
        <f>HYPERLINK('Link Config'!$B$2&amp;"plugins/vc/agents/vc-sourcing-operator.md","Sourcing Operator")</f>
        <v/>
      </c>
      <c r="G280" s="16">
        <f>HYPERLINK('Link Config'!$B$2&amp;"plugins/vc/skills/citation-enforcement/SKILL.md","Citation Enforcement")</f>
        <v/>
      </c>
      <c r="H280" s="16">
        <f>HYPERLINK('Link Config'!$B$2&amp;"plugins/vc/alludium/documents/origination/origination-source-strategy-guide.md","Origination Source Strategy Guide (methodology)")</f>
        <v/>
      </c>
      <c r="I280" s="15" t="inlineStr">
        <is>
          <t>None declared</t>
        </is>
      </c>
      <c r="J280" s="15" t="inlineStr">
        <is>
          <t>screen-founder-connected-candidates</t>
        </is>
      </c>
      <c r="K280" s="15" t="inlineStr">
        <is>
          <t>project_instance</t>
        </is>
      </c>
    </row>
    <row r="281" ht="18" customHeight="1" s="12">
      <c r="A281" s="15" t="inlineStr"/>
      <c r="B281" s="15" t="inlineStr">
        <is>
          <t>Origination Pipeline</t>
        </is>
      </c>
      <c r="C281" s="15" t="inlineStr">
        <is>
          <t>Founder Engagement Screen</t>
        </is>
      </c>
      <c r="D281" s="16">
        <f>HYPERLINK('Link Config'!$B$2&amp;"plugins/vc/tasks/screen-founder-connected-candidates.md","Screen Founder-Connected Candidate")</f>
        <v/>
      </c>
      <c r="E281" s="15" t="inlineStr">
        <is>
          <t>Re-screen candidates after a founder connection adds direct context, before continuing outbound or promotion.</t>
        </is>
      </c>
      <c r="F281" s="16">
        <f>HYPERLINK('Link Config'!$B$2&amp;"plugins/vc/agents/vc-sourcing-operator.md","Sourcing Operator")</f>
        <v/>
      </c>
      <c r="G281" s="16">
        <f>HYPERLINK('Link Config'!$B$2&amp;"plugins/vc/skills/investment-screening-framework/SKILL.md","Investment Screening Framework")</f>
        <v/>
      </c>
      <c r="H281" s="16">
        <f>HYPERLINK('Link Config'!$B$2&amp;"plugins/vc/alludium/documents/shared/template-use-guidance.md","Template Use Guidance (operating_guidance)")</f>
        <v/>
      </c>
      <c r="I281" s="15" t="inlineStr">
        <is>
          <t>None declared</t>
        </is>
      </c>
      <c r="J281" s="15" t="inlineStr">
        <is>
          <t>screen-founder-connected-candidates</t>
        </is>
      </c>
      <c r="K281" s="15" t="inlineStr">
        <is>
          <t>project_instance</t>
        </is>
      </c>
    </row>
    <row r="282" ht="18" customHeight="1" s="12">
      <c r="A282" s="15" t="inlineStr"/>
      <c r="B282" s="15" t="inlineStr">
        <is>
          <t>Origination Pipeline</t>
        </is>
      </c>
      <c r="C282" s="15" t="inlineStr">
        <is>
          <t>Founder Engagement Screen</t>
        </is>
      </c>
      <c r="D282" s="16">
        <f>HYPERLINK('Link Config'!$B$2&amp;"plugins/vc/tasks/review-outreach-outcome.md","Review Outreach Outcome")</f>
        <v/>
      </c>
      <c r="E282" s="15" t="inlineStr">
        <is>
          <t>Classify outbound outcomes after LinkedIn and email attempts into no response, engaged, pass, or watchlist.</t>
        </is>
      </c>
      <c r="F282" s="16">
        <f>HYPERLINK('Link Config'!$B$2&amp;"plugins/vc/agents/vc-sourcing-operator.md","Sourcing Operator")</f>
        <v/>
      </c>
      <c r="G282" s="16">
        <f>HYPERLINK('Link Config'!$B$2&amp;"plugins/vc/skills/vc-origination-deal-room-promotion/SKILL.md","Origination Deal Pipeline Promotion")</f>
        <v/>
      </c>
      <c r="H282" s="16">
        <f>HYPERLINK('Link Config'!$B$2&amp;"plugins/vc/alludium/documents/origination/promotion-package-template.md","Promotion Package Template (output_template, to outreach_outcome_artifact_id)")</f>
        <v/>
      </c>
      <c r="I282" s="15" t="inlineStr">
        <is>
          <t>None declared</t>
        </is>
      </c>
      <c r="J282" s="15" t="inlineStr">
        <is>
          <t>review-outreach-outcome</t>
        </is>
      </c>
      <c r="K282" s="15" t="inlineStr">
        <is>
          <t>project_instance</t>
        </is>
      </c>
    </row>
    <row r="283" ht="18" customHeight="1" s="12">
      <c r="A283" s="15" t="inlineStr"/>
      <c r="B283" s="15" t="inlineStr">
        <is>
          <t>Origination Pipeline</t>
        </is>
      </c>
      <c r="C283" s="15" t="inlineStr">
        <is>
          <t>Founder Engagement Screen</t>
        </is>
      </c>
      <c r="D283" s="16">
        <f>HYPERLINK('Link Config'!$B$2&amp;"plugins/vc/tasks/review-outreach-outcome.md","Review Outreach Outcome")</f>
        <v/>
      </c>
      <c r="E283" s="15" t="inlineStr">
        <is>
          <t>Classify outbound outcomes after LinkedIn and email attempts into no response, engaged, pass, or watchlist.</t>
        </is>
      </c>
      <c r="F283" s="16">
        <f>HYPERLINK('Link Config'!$B$2&amp;"plugins/vc/agents/vc-sourcing-operator.md","Sourcing Operator")</f>
        <v/>
      </c>
      <c r="G283" s="16">
        <f>HYPERLINK('Link Config'!$B$2&amp;"plugins/vc/skills/vc-outreach-draft-queue/SKILL.md","VC Outreach Draft Queue")</f>
        <v/>
      </c>
      <c r="H283" s="16">
        <f>HYPERLINK('Link Config'!$B$2&amp;"plugins/vc/alludium/documents/origination/origination-source-strategy-guide.md","Origination Source Strategy Guide (methodology)")</f>
        <v/>
      </c>
      <c r="I283" s="15" t="inlineStr">
        <is>
          <t>None declared</t>
        </is>
      </c>
      <c r="J283" s="15" t="inlineStr">
        <is>
          <t>review-outreach-outcome</t>
        </is>
      </c>
      <c r="K283" s="15" t="inlineStr">
        <is>
          <t>project_instance</t>
        </is>
      </c>
    </row>
    <row r="284" ht="18" customHeight="1" s="12">
      <c r="A284" s="15" t="inlineStr"/>
      <c r="B284" s="15" t="inlineStr">
        <is>
          <t>Origination Pipeline</t>
        </is>
      </c>
      <c r="C284" s="15" t="inlineStr">
        <is>
          <t>Founder Engagement Screen</t>
        </is>
      </c>
      <c r="D284" s="16">
        <f>HYPERLINK('Link Config'!$B$2&amp;"plugins/vc/tasks/review-outreach-outcome.md","Review Outreach Outcome")</f>
        <v/>
      </c>
      <c r="E284" s="15" t="inlineStr">
        <is>
          <t>Classify outbound outcomes after LinkedIn and email attempts into no response, engaged, pass, or watchlist.</t>
        </is>
      </c>
      <c r="F284" s="16">
        <f>HYPERLINK('Link Config'!$B$2&amp;"plugins/vc/agents/vc-sourcing-operator.md","Sourcing Operator")</f>
        <v/>
      </c>
      <c r="G284" s="16">
        <f>HYPERLINK('Link Config'!$B$2&amp;"plugins/vc/skills/citation-enforcement/SKILL.md","Citation Enforcement")</f>
        <v/>
      </c>
      <c r="H284" s="16">
        <f>HYPERLINK('Link Config'!$B$2&amp;"plugins/vc/alludium/documents/shared/template-use-guidance.md","Template Use Guidance (operating_guidance)")</f>
        <v/>
      </c>
      <c r="I284" s="15" t="inlineStr">
        <is>
          <t>None declared</t>
        </is>
      </c>
      <c r="J284" s="15" t="inlineStr">
        <is>
          <t>review-outreach-outcome</t>
        </is>
      </c>
      <c r="K284" s="15" t="inlineStr">
        <is>
          <t>project_instance</t>
        </is>
      </c>
    </row>
    <row r="285" ht="18" customHeight="1" s="12">
      <c r="A285" s="15" t="inlineStr">
        <is>
          <t>Jay</t>
        </is>
      </c>
      <c r="B285" s="15" t="inlineStr">
        <is>
          <t>Origination Pipeline</t>
        </is>
      </c>
      <c r="C285" s="15" t="inlineStr">
        <is>
          <t>Added To Deal Pipeline</t>
        </is>
      </c>
      <c r="D285" s="16">
        <f>HYPERLINK('Link Config'!$B$2&amp;"plugins/vc/tasks/promote-candidate-to-deal-room.md","Promote Candidate to Deal Pipeline")</f>
        <v/>
      </c>
      <c r="E285" s="15" t="inlineStr">
        <is>
          <t>Prepare a reviewed promotion package for creating or updating a Deal Pipeline from an approved origination candidate.</t>
        </is>
      </c>
      <c r="F285" s="16">
        <f>HYPERLINK('Link Config'!$B$2&amp;"plugins/vc/agents/vc-sourcing-operator.md","Sourcing Operator")</f>
        <v/>
      </c>
      <c r="G285" s="16">
        <f>HYPERLINK('Link Config'!$B$2&amp;"plugins/vc/skills/vc-origination-deal-room-promotion/SKILL.md","Origination Deal Pipeline Promotion")</f>
        <v/>
      </c>
      <c r="H285" s="16">
        <f>HYPERLINK('Link Config'!$B$2&amp;"plugins/vc/alludium/documents/origination/promotion-package-template.md","Promotion Package Template (output_template, to promotion_package_artifact_id)")</f>
        <v/>
      </c>
      <c r="I285" s="15" t="inlineStr">
        <is>
          <t>None declared</t>
        </is>
      </c>
      <c r="J285" s="15" t="inlineStr">
        <is>
          <t>promote-candidate-to-deal-room</t>
        </is>
      </c>
      <c r="K285" s="15" t="inlineStr">
        <is>
          <t>project_instance</t>
        </is>
      </c>
    </row>
    <row r="286" ht="18" customHeight="1" s="12">
      <c r="A286" s="15" t="inlineStr">
        <is>
          <t>Jay</t>
        </is>
      </c>
      <c r="B286" s="15" t="inlineStr">
        <is>
          <t>Origination Pipeline</t>
        </is>
      </c>
      <c r="C286" s="15" t="inlineStr">
        <is>
          <t>Added To Deal Pipeline</t>
        </is>
      </c>
      <c r="D286" s="16">
        <f>HYPERLINK('Link Config'!$B$2&amp;"plugins/vc/tasks/promote-candidate-to-deal-room.md","Promote Candidate to Deal Pipeline")</f>
        <v/>
      </c>
      <c r="E286" s="15" t="inlineStr">
        <is>
          <t>Prepare a reviewed promotion package for creating or updating a Deal Pipeline from an approved origination candidate.</t>
        </is>
      </c>
      <c r="F286" s="16">
        <f>HYPERLINK('Link Config'!$B$2&amp;"plugins/vc/agents/vc-sourcing-operator.md","Sourcing Operator")</f>
        <v/>
      </c>
      <c r="G286" s="16">
        <f>HYPERLINK('Link Config'!$B$2&amp;"plugins/vc/skills/citation-enforcement/SKILL.md","Citation Enforcement")</f>
        <v/>
      </c>
      <c r="H286" s="16">
        <f>HYPERLINK('Link Config'!$B$2&amp;"plugins/vc/alludium/documents/origination/origination-source-strategy-guide.md","Origination Source Strategy Guide (methodology)")</f>
        <v/>
      </c>
      <c r="I286" s="15" t="inlineStr">
        <is>
          <t>None declared</t>
        </is>
      </c>
      <c r="J286" s="15" t="inlineStr">
        <is>
          <t>promote-candidate-to-deal-room</t>
        </is>
      </c>
      <c r="K286" s="15" t="inlineStr">
        <is>
          <t>project_instance</t>
        </is>
      </c>
    </row>
    <row r="287" ht="18" customHeight="1" s="12">
      <c r="A287" s="15" t="inlineStr">
        <is>
          <t>Jay</t>
        </is>
      </c>
      <c r="B287" s="15" t="inlineStr">
        <is>
          <t>Origination Pipeline</t>
        </is>
      </c>
      <c r="C287" s="15" t="inlineStr">
        <is>
          <t>Added To Deal Pipeline</t>
        </is>
      </c>
      <c r="D287" s="16">
        <f>HYPERLINK('Link Config'!$B$2&amp;"plugins/vc/tasks/promote-candidate-to-deal-room.md","Promote Candidate to Deal Pipeline")</f>
        <v/>
      </c>
      <c r="E287" s="15" t="inlineStr">
        <is>
          <t>Prepare a reviewed promotion package for creating or updating a Deal Pipeline from an approved origination candidate.</t>
        </is>
      </c>
      <c r="F287" s="16">
        <f>HYPERLINK('Link Config'!$B$2&amp;"plugins/vc/agents/vc-sourcing-operator.md","Sourcing Operator")</f>
        <v/>
      </c>
      <c r="G287" s="16">
        <f>HYPERLINK('Link Config'!$B$2&amp;"plugins/vc/skills/deal-room-setup-and-source-ingestion/SKILL.md","Deal Pipeline Setup &amp; Source Ingestion")</f>
        <v/>
      </c>
      <c r="H287" s="16">
        <f>HYPERLINK('Link Config'!$B$2&amp;"plugins/vc/alludium/documents/shared/template-use-guidance.md","Template Use Guidance (operating_guidance)")</f>
        <v/>
      </c>
      <c r="I287" s="15" t="inlineStr">
        <is>
          <t>None declared</t>
        </is>
      </c>
      <c r="J287" s="15" t="inlineStr">
        <is>
          <t>promote-candidate-to-deal-room</t>
        </is>
      </c>
      <c r="K287" s="15" t="inlineStr">
        <is>
          <t>project_instance</t>
        </is>
      </c>
    </row>
    <row r="288" ht="18" customHeight="1" s="12">
      <c r="A288" s="15" t="inlineStr"/>
      <c r="B288" s="15" t="inlineStr">
        <is>
          <t>Investment Management</t>
        </is>
      </c>
      <c r="C288" s="15" t="inlineStr">
        <is>
          <t>Setup</t>
        </is>
      </c>
      <c r="D288" s="15" t="inlineStr">
        <is>
          <t>Project Variable Review</t>
        </is>
      </c>
      <c r="E288" s="15" t="inlineStr">
        <is>
          <t>Review workspace and project variables before normal execution.</t>
        </is>
      </c>
      <c r="F288" s="16">
        <f>HYPERLINK('Link Config'!$B$2&amp;"plugins/vc/agents/vc-legal-compliance-desk.md","Legal &amp; Compliance Desk")</f>
        <v/>
      </c>
      <c r="G288" s="15" t="inlineStr">
        <is>
          <t>None declared</t>
        </is>
      </c>
      <c r="H288" s="15" t="inlineStr">
        <is>
          <t>None declared</t>
        </is>
      </c>
      <c r="I288" s="15" t="inlineStr">
        <is>
          <t>None declared</t>
        </is>
      </c>
      <c r="J288" s="15" t="inlineStr">
        <is>
          <t>project-variable-review</t>
        </is>
      </c>
      <c r="K288" s="15" t="inlineStr">
        <is>
          <t>setup</t>
        </is>
      </c>
    </row>
    <row r="289" ht="18" customHeight="1" s="12">
      <c r="A289" s="15" t="inlineStr"/>
      <c r="B289" s="15" t="inlineStr">
        <is>
          <t>Investment Management</t>
        </is>
      </c>
      <c r="C289" s="15" t="inlineStr">
        <is>
          <t>Setup</t>
        </is>
      </c>
      <c r="D289" s="15" t="inlineStr">
        <is>
          <t>Project Team Invite Review</t>
        </is>
      </c>
      <c r="E289" s="15" t="inlineStr">
        <is>
          <t>Review suggested collaborators before sending invitations.</t>
        </is>
      </c>
      <c r="F289" s="16">
        <f>HYPERLINK('Link Config'!$B$2&amp;"plugins/vc/agents/vc-legal-compliance-desk.md","Legal &amp; Compliance Desk")</f>
        <v/>
      </c>
      <c r="G289" s="15" t="inlineStr">
        <is>
          <t>None declared</t>
        </is>
      </c>
      <c r="H289" s="15" t="inlineStr">
        <is>
          <t>None declared</t>
        </is>
      </c>
      <c r="I289" s="15" t="inlineStr">
        <is>
          <t>None declared</t>
        </is>
      </c>
      <c r="J289" s="15" t="inlineStr">
        <is>
          <t>project-team-invite</t>
        </is>
      </c>
      <c r="K289" s="15" t="inlineStr">
        <is>
          <t>setup</t>
        </is>
      </c>
    </row>
    <row r="290" ht="90" customHeight="1" s="12">
      <c r="A290" s="15" t="inlineStr"/>
      <c r="B290" s="15" t="inlineStr">
        <is>
          <t>Investment Management</t>
        </is>
      </c>
      <c r="C290" s="15" t="inlineStr">
        <is>
          <t>Setup</t>
        </is>
      </c>
      <c r="D290" s="16">
        <f>HYPERLINK('Link Config'!$B$2&amp;"plugins/vc/tasks/capture-investment-management-handoff.md","Capture Investment Management Handoff")</f>
        <v/>
      </c>
      <c r="E290" s="15" t="inlineStr">
        <is>
          <t>Capture the reviewed deal-structuring handoff needed to create an Investment Management project for formal diligence, contracts, and closing.</t>
        </is>
      </c>
      <c r="F290" s="16">
        <f>HYPERLINK('Link Config'!$B$2&amp;"plugins/vc/agents/vc-legal-compliance-desk.md","Legal &amp; Compliance Desk")</f>
        <v/>
      </c>
      <c r="G290" s="16">
        <f>HYPERLINK('Link Config'!$B$2&amp;"plugins/vc/skills/citation-enforcement/SKILL.md","Citation Enforcement")</f>
        <v/>
      </c>
      <c r="H290" s="16">
        <f>HYPERLINK('Link Config'!$B$2&amp;"plugins/vc/alludium/documents/shared/evidence-citation-style-guide.md","Evidence And Citation Style Guide (style_guide)")</f>
        <v/>
      </c>
      <c r="I290" s="15" t="inlineStr">
        <is>
          <t>alludium-platform
affinity-mcp-server
exa-mcp-hosted
brave-search-mcp
dealroom-mcp
google_drive</t>
        </is>
      </c>
      <c r="J290" s="15" t="inlineStr">
        <is>
          <t>capture-investment-management-handoff</t>
        </is>
      </c>
      <c r="K290" s="15" t="inlineStr">
        <is>
          <t>setup</t>
        </is>
      </c>
    </row>
    <row r="291" ht="90" customHeight="1" s="12">
      <c r="A291" s="15" t="inlineStr"/>
      <c r="B291" s="15" t="inlineStr">
        <is>
          <t>Investment Management</t>
        </is>
      </c>
      <c r="C291" s="15" t="inlineStr">
        <is>
          <t>Setup</t>
        </is>
      </c>
      <c r="D291" s="16">
        <f>HYPERLINK('Link Config'!$B$2&amp;"plugins/vc/tasks/capture-investment-management-handoff.md","Capture Investment Management Handoff")</f>
        <v/>
      </c>
      <c r="E291" s="15" t="inlineStr">
        <is>
          <t>Capture the reviewed deal-structuring handoff needed to create an Investment Management project for formal diligence, contracts, and closing.</t>
        </is>
      </c>
      <c r="F291" s="16">
        <f>HYPERLINK('Link Config'!$B$2&amp;"plugins/vc/agents/vc-legal-compliance-desk.md","Legal &amp; Compliance Desk")</f>
        <v/>
      </c>
      <c r="G291" s="16">
        <f>HYPERLINK('Link Config'!$B$2&amp;"plugins/vc/skills/vc-task-and-next-step-generation/SKILL.md","VC Task &amp; Next-Step Generation")</f>
        <v/>
      </c>
      <c r="H291" s="16">
        <f>HYPERLINK('Link Config'!$B$2&amp;"plugins/vc/alludium/documents/shared/template-use-guidance.md","Template Use Guidance (operating_guidance)")</f>
        <v/>
      </c>
      <c r="I291" s="15" t="inlineStr">
        <is>
          <t>alludium-platform
affinity-mcp-server
exa-mcp-hosted
brave-search-mcp
dealroom-mcp
google_drive</t>
        </is>
      </c>
      <c r="J291" s="15" t="inlineStr">
        <is>
          <t>capture-investment-management-handoff</t>
        </is>
      </c>
      <c r="K291" s="15" t="inlineStr">
        <is>
          <t>setup</t>
        </is>
      </c>
    </row>
    <row r="292" ht="90" customHeight="1" s="12">
      <c r="A292" s="15" t="inlineStr"/>
      <c r="B292" s="15" t="inlineStr">
        <is>
          <t>Investment Management</t>
        </is>
      </c>
      <c r="C292" s="15" t="inlineStr">
        <is>
          <t>Setup</t>
        </is>
      </c>
      <c r="D292" s="16">
        <f>HYPERLINK('Link Config'!$B$2&amp;"plugins/vc/tasks/vc-pack-variable-discovery.md","VC Pack Variable Discovery")</f>
        <v/>
      </c>
      <c r="E292" s="15" t="inlineStr">
        <is>
          <t>Best-effort, review-only discovery for VC Pack Setup variables and invite suggestions.</t>
        </is>
      </c>
      <c r="F292" s="16">
        <f>HYPERLINK('Link Config'!$B$2&amp;"plugins/vc/agents/vc-legal-compliance-desk.md","Legal &amp; Compliance Desk")</f>
        <v/>
      </c>
      <c r="G292" s="15" t="inlineStr">
        <is>
          <t>None declared</t>
        </is>
      </c>
      <c r="H292" s="15" t="inlineStr">
        <is>
          <t>None declared</t>
        </is>
      </c>
      <c r="I292" s="15" t="inlineStr">
        <is>
          <t>alludium-platform
affinity-mcp-server
exa-mcp-hosted
brave-search-mcp
dealroom-mcp
google_drive</t>
        </is>
      </c>
      <c r="J292" s="15" t="inlineStr">
        <is>
          <t>vc-pack-variable-discovery</t>
        </is>
      </c>
      <c r="K292" s="15" t="inlineStr">
        <is>
          <t>setup</t>
        </is>
      </c>
    </row>
    <row r="293" ht="120" customHeight="1" s="12">
      <c r="A293" s="15" t="inlineStr">
        <is>
          <t>Alex</t>
        </is>
      </c>
      <c r="B293" s="15" t="inlineStr">
        <is>
          <t>Investment Management</t>
        </is>
      </c>
      <c r="C293" s="15" t="inlineStr">
        <is>
          <t>Formal Diligence</t>
        </is>
      </c>
      <c r="D293" s="16">
        <f>HYPERLINK('Link Config'!$B$2&amp;"plugins/vc/tasks/run-commercial-dd.md","Run Commercial DD")</f>
        <v/>
      </c>
      <c r="E293" s="15" t="inlineStr">
        <is>
          <t>Run Commercial DD for one venture-capital opportunity with evidence capture, human review gates, and next-action recommendations.</t>
        </is>
      </c>
      <c r="F293" s="16">
        <f>HYPERLINK('Link Config'!$B$2&amp;"plugins/vc/agents/vc-diligence-analyst.md","Diligence Analyst")</f>
        <v/>
      </c>
      <c r="G293" s="16">
        <f>HYPERLINK('Link Config'!$B$2&amp;"plugins/vc/skills/citation-enforcement/SKILL.md","Citation Enforcement")</f>
        <v/>
      </c>
      <c r="H293" s="16">
        <f>HYPERLINK('Link Config'!$B$2&amp;"plugins/vc/alludium/documents/deal-room/diligence-report-template.md","Diligence Report Template (output_template, to commercial_dd_artifact_id)")</f>
        <v/>
      </c>
      <c r="I293" s="15" t="inlineStr">
        <is>
          <t>alludium-platform
harmonic-mcp-oauth
affinity-mcp-server
exa-mcp-hosted
brave-search-mcp
serpapi-mcp
firecrawl-mcp-hosted
dealroom-mcp</t>
        </is>
      </c>
      <c r="J293" s="15" t="inlineStr">
        <is>
          <t>run-commercial-dd</t>
        </is>
      </c>
      <c r="K293" s="15" t="inlineStr">
        <is>
          <t>project_instance</t>
        </is>
      </c>
    </row>
    <row r="294" ht="120" customHeight="1" s="12">
      <c r="A294" s="15" t="inlineStr">
        <is>
          <t>Alex</t>
        </is>
      </c>
      <c r="B294" s="15" t="inlineStr">
        <is>
          <t>Investment Management</t>
        </is>
      </c>
      <c r="C294" s="15" t="inlineStr">
        <is>
          <t>Formal Diligence</t>
        </is>
      </c>
      <c r="D294" s="16">
        <f>HYPERLINK('Link Config'!$B$2&amp;"plugins/vc/tasks/run-commercial-dd.md","Run Commercial DD")</f>
        <v/>
      </c>
      <c r="E294" s="15" t="inlineStr">
        <is>
          <t>Run Commercial DD for one venture-capital opportunity with evidence capture, human review gates, and next-action recommendations.</t>
        </is>
      </c>
      <c r="F294" s="16">
        <f>HYPERLINK('Link Config'!$B$2&amp;"plugins/vc/agents/vc-diligence-analyst.md","Diligence Analyst")</f>
        <v/>
      </c>
      <c r="G294" s="16">
        <f>HYPERLINK('Link Config'!$B$2&amp;"plugins/vc/skills/commercial-diligence-workstream/SKILL.md","Commercial Diligence Workstream")</f>
        <v/>
      </c>
      <c r="H294" s="16">
        <f>HYPERLINK('Link Config'!$B$2&amp;"plugins/vc/alludium/documents/deal-room/formal-diligence-workstream-guide.md","Formal Diligence Workstream Guide (methodology)")</f>
        <v/>
      </c>
      <c r="I294" s="15" t="inlineStr">
        <is>
          <t>alludium-platform
harmonic-mcp-oauth
affinity-mcp-server
exa-mcp-hosted
brave-search-mcp
serpapi-mcp
firecrawl-mcp-hosted
dealroom-mcp</t>
        </is>
      </c>
      <c r="J294" s="15" t="inlineStr">
        <is>
          <t>run-commercial-dd</t>
        </is>
      </c>
      <c r="K294" s="15" t="inlineStr">
        <is>
          <t>project_instance</t>
        </is>
      </c>
    </row>
    <row r="295" ht="120" customHeight="1" s="12">
      <c r="A295" s="15" t="inlineStr">
        <is>
          <t>Alex</t>
        </is>
      </c>
      <c r="B295" s="15" t="inlineStr">
        <is>
          <t>Investment Management</t>
        </is>
      </c>
      <c r="C295" s="15" t="inlineStr">
        <is>
          <t>Formal Diligence</t>
        </is>
      </c>
      <c r="D295" s="16">
        <f>HYPERLINK('Link Config'!$B$2&amp;"plugins/vc/tasks/run-commercial-dd.md","Run Commercial DD")</f>
        <v/>
      </c>
      <c r="E295" s="15" t="inlineStr">
        <is>
          <t>Run Commercial DD for one venture-capital opportunity with evidence capture, human review gates, and next-action recommendations.</t>
        </is>
      </c>
      <c r="F295" s="16">
        <f>HYPERLINK('Link Config'!$B$2&amp;"plugins/vc/agents/vc-diligence-analyst.md","Diligence Analyst")</f>
        <v/>
      </c>
      <c r="G295" s="15" t="inlineStr"/>
      <c r="H295" s="16">
        <f>HYPERLINK('Link Config'!$B$2&amp;"plugins/vc/alludium/documents/deal-room/formal-diligence-checklist.md","Formal Diligence Checklist (checklist)")</f>
        <v/>
      </c>
      <c r="I295" s="15" t="inlineStr">
        <is>
          <t>alludium-platform
harmonic-mcp-oauth
affinity-mcp-server
exa-mcp-hosted
brave-search-mcp
serpapi-mcp
firecrawl-mcp-hosted
dealroom-mcp</t>
        </is>
      </c>
      <c r="J295" s="15" t="inlineStr">
        <is>
          <t>run-commercial-dd</t>
        </is>
      </c>
      <c r="K295" s="15" t="inlineStr">
        <is>
          <t>project_instance</t>
        </is>
      </c>
    </row>
    <row r="296" ht="120" customHeight="1" s="12">
      <c r="A296" s="15" t="inlineStr">
        <is>
          <t>Alex</t>
        </is>
      </c>
      <c r="B296" s="15" t="inlineStr">
        <is>
          <t>Investment Management</t>
        </is>
      </c>
      <c r="C296" s="15" t="inlineStr">
        <is>
          <t>Formal Diligence</t>
        </is>
      </c>
      <c r="D296" s="16">
        <f>HYPERLINK('Link Config'!$B$2&amp;"plugins/vc/tasks/run-commercial-dd.md","Run Commercial DD")</f>
        <v/>
      </c>
      <c r="E296" s="15" t="inlineStr">
        <is>
          <t>Run Commercial DD for one venture-capital opportunity with evidence capture, human review gates, and next-action recommendations.</t>
        </is>
      </c>
      <c r="F296" s="16">
        <f>HYPERLINK('Link Config'!$B$2&amp;"plugins/vc/agents/vc-diligence-analyst.md","Diligence Analyst")</f>
        <v/>
      </c>
      <c r="G296" s="15" t="inlineStr"/>
      <c r="H296" s="16">
        <f>HYPERLINK('Link Config'!$B$2&amp;"plugins/vc/alludium/documents/shared/evidence-citation-style-guide.md","Evidence And Citation Style Guide (style_guide)")</f>
        <v/>
      </c>
      <c r="I296" s="15" t="inlineStr">
        <is>
          <t>alludium-platform
harmonic-mcp-oauth
affinity-mcp-server
exa-mcp-hosted
brave-search-mcp
serpapi-mcp
firecrawl-mcp-hosted
dealroom-mcp</t>
        </is>
      </c>
      <c r="J296" s="15" t="inlineStr">
        <is>
          <t>run-commercial-dd</t>
        </is>
      </c>
      <c r="K296" s="15" t="inlineStr">
        <is>
          <t>project_instance</t>
        </is>
      </c>
    </row>
    <row r="297" ht="120" customHeight="1" s="12">
      <c r="A297" s="15" t="inlineStr">
        <is>
          <t>Alex</t>
        </is>
      </c>
      <c r="B297" s="15" t="inlineStr">
        <is>
          <t>Investment Management</t>
        </is>
      </c>
      <c r="C297" s="15" t="inlineStr">
        <is>
          <t>Formal Diligence</t>
        </is>
      </c>
      <c r="D297" s="16">
        <f>HYPERLINK('Link Config'!$B$2&amp;"plugins/vc/tasks/run-commercial-dd.md","Run Commercial DD")</f>
        <v/>
      </c>
      <c r="E297" s="15" t="inlineStr">
        <is>
          <t>Run Commercial DD for one venture-capital opportunity with evidence capture, human review gates, and next-action recommendations.</t>
        </is>
      </c>
      <c r="F297" s="16">
        <f>HYPERLINK('Link Config'!$B$2&amp;"plugins/vc/agents/vc-diligence-analyst.md","Diligence Analyst")</f>
        <v/>
      </c>
      <c r="G297" s="15" t="inlineStr"/>
      <c r="H297" s="16">
        <f>HYPERLINK('Link Config'!$B$2&amp;"plugins/vc/alludium/documents/shared/template-use-guidance.md","Template Use Guidance (operating_guidance)")</f>
        <v/>
      </c>
      <c r="I297" s="15" t="inlineStr">
        <is>
          <t>alludium-platform
harmonic-mcp-oauth
affinity-mcp-server
exa-mcp-hosted
brave-search-mcp
serpapi-mcp
firecrawl-mcp-hosted
dealroom-mcp</t>
        </is>
      </c>
      <c r="J297" s="15" t="inlineStr">
        <is>
          <t>run-commercial-dd</t>
        </is>
      </c>
      <c r="K297" s="15" t="inlineStr">
        <is>
          <t>project_instance</t>
        </is>
      </c>
    </row>
    <row r="298" ht="120" customHeight="1" s="12">
      <c r="A298" s="15" t="inlineStr">
        <is>
          <t>Hunter</t>
        </is>
      </c>
      <c r="B298" s="15" t="inlineStr">
        <is>
          <t>Investment Management</t>
        </is>
      </c>
      <c r="C298" s="15" t="inlineStr">
        <is>
          <t>Formal Diligence</t>
        </is>
      </c>
      <c r="D298" s="16">
        <f>HYPERLINK('Link Config'!$B$2&amp;"plugins/vc/tasks/run-financial-dd.md","Run Financial DD")</f>
        <v/>
      </c>
      <c r="E298" s="15" t="inlineStr">
        <is>
          <t>Run Financial DD for one venture-capital opportunity with evidence capture, human review gates, and next-action recommendations.</t>
        </is>
      </c>
      <c r="F298" s="16">
        <f>HYPERLINK('Link Config'!$B$2&amp;"plugins/vc/agents/vc-diligence-analyst.md","Diligence Analyst")</f>
        <v/>
      </c>
      <c r="G298" s="16">
        <f>HYPERLINK('Link Config'!$B$2&amp;"plugins/vc/skills/citation-enforcement/SKILL.md","Citation Enforcement")</f>
        <v/>
      </c>
      <c r="H298" s="16">
        <f>HYPERLINK('Link Config'!$B$2&amp;"plugins/vc/alludium/documents/deal-room/diligence-report-template.md","Diligence Report Template (output_template, to financial_dd_artifact_id)")</f>
        <v/>
      </c>
      <c r="I298" s="15" t="inlineStr">
        <is>
          <t>alludium-platform
harmonic-mcp-oauth
affinity-mcp-server
exa-mcp-hosted
brave-search-mcp
serpapi-mcp
firecrawl-mcp-hosted
dealroom-mcp</t>
        </is>
      </c>
      <c r="J298" s="15" t="inlineStr">
        <is>
          <t>run-financial-dd</t>
        </is>
      </c>
      <c r="K298" s="15" t="inlineStr">
        <is>
          <t>project_instance</t>
        </is>
      </c>
    </row>
    <row r="299" ht="120" customHeight="1" s="12">
      <c r="A299" s="15" t="inlineStr">
        <is>
          <t>Hunter</t>
        </is>
      </c>
      <c r="B299" s="15" t="inlineStr">
        <is>
          <t>Investment Management</t>
        </is>
      </c>
      <c r="C299" s="15" t="inlineStr">
        <is>
          <t>Formal Diligence</t>
        </is>
      </c>
      <c r="D299" s="16">
        <f>HYPERLINK('Link Config'!$B$2&amp;"plugins/vc/tasks/run-financial-dd.md","Run Financial DD")</f>
        <v/>
      </c>
      <c r="E299" s="15" t="inlineStr">
        <is>
          <t>Run Financial DD for one venture-capital opportunity with evidence capture, human review gates, and next-action recommendations.</t>
        </is>
      </c>
      <c r="F299" s="16">
        <f>HYPERLINK('Link Config'!$B$2&amp;"plugins/vc/agents/vc-diligence-analyst.md","Diligence Analyst")</f>
        <v/>
      </c>
      <c r="G299" s="16">
        <f>HYPERLINK('Link Config'!$B$2&amp;"plugins/vc/skills/financial-diligence-workstream/SKILL.md","Financial Diligence Workstream")</f>
        <v/>
      </c>
      <c r="H299" s="16">
        <f>HYPERLINK('Link Config'!$B$2&amp;"plugins/vc/alludium/documents/deal-room/formal-diligence-workstream-guide.md","Formal Diligence Workstream Guide (methodology)")</f>
        <v/>
      </c>
      <c r="I299" s="15" t="inlineStr">
        <is>
          <t>alludium-platform
harmonic-mcp-oauth
affinity-mcp-server
exa-mcp-hosted
brave-search-mcp
serpapi-mcp
firecrawl-mcp-hosted
dealroom-mcp</t>
        </is>
      </c>
      <c r="J299" s="15" t="inlineStr">
        <is>
          <t>run-financial-dd</t>
        </is>
      </c>
      <c r="K299" s="15" t="inlineStr">
        <is>
          <t>project_instance</t>
        </is>
      </c>
    </row>
    <row r="300" ht="120" customHeight="1" s="12">
      <c r="A300" s="15" t="inlineStr">
        <is>
          <t>Hunter</t>
        </is>
      </c>
      <c r="B300" s="15" t="inlineStr">
        <is>
          <t>Investment Management</t>
        </is>
      </c>
      <c r="C300" s="15" t="inlineStr">
        <is>
          <t>Formal Diligence</t>
        </is>
      </c>
      <c r="D300" s="16">
        <f>HYPERLINK('Link Config'!$B$2&amp;"plugins/vc/tasks/run-financial-dd.md","Run Financial DD")</f>
        <v/>
      </c>
      <c r="E300" s="15" t="inlineStr">
        <is>
          <t>Run Financial DD for one venture-capital opportunity with evidence capture, human review gates, and next-action recommendations.</t>
        </is>
      </c>
      <c r="F300" s="16">
        <f>HYPERLINK('Link Config'!$B$2&amp;"plugins/vc/agents/vc-diligence-analyst.md","Diligence Analyst")</f>
        <v/>
      </c>
      <c r="G300" s="15" t="inlineStr"/>
      <c r="H300" s="16">
        <f>HYPERLINK('Link Config'!$B$2&amp;"plugins/vc/alludium/documents/deal-room/formal-diligence-checklist.md","Formal Diligence Checklist (checklist)")</f>
        <v/>
      </c>
      <c r="I300" s="15" t="inlineStr">
        <is>
          <t>alludium-platform
harmonic-mcp-oauth
affinity-mcp-server
exa-mcp-hosted
brave-search-mcp
serpapi-mcp
firecrawl-mcp-hosted
dealroom-mcp</t>
        </is>
      </c>
      <c r="J300" s="15" t="inlineStr">
        <is>
          <t>run-financial-dd</t>
        </is>
      </c>
      <c r="K300" s="15" t="inlineStr">
        <is>
          <t>project_instance</t>
        </is>
      </c>
    </row>
    <row r="301" ht="120" customHeight="1" s="12">
      <c r="A301" s="15" t="inlineStr">
        <is>
          <t>Hunter</t>
        </is>
      </c>
      <c r="B301" s="15" t="inlineStr">
        <is>
          <t>Investment Management</t>
        </is>
      </c>
      <c r="C301" s="15" t="inlineStr">
        <is>
          <t>Formal Diligence</t>
        </is>
      </c>
      <c r="D301" s="16">
        <f>HYPERLINK('Link Config'!$B$2&amp;"plugins/vc/tasks/run-financial-dd.md","Run Financial DD")</f>
        <v/>
      </c>
      <c r="E301" s="15" t="inlineStr">
        <is>
          <t>Run Financial DD for one venture-capital opportunity with evidence capture, human review gates, and next-action recommendations.</t>
        </is>
      </c>
      <c r="F301" s="16">
        <f>HYPERLINK('Link Config'!$B$2&amp;"plugins/vc/agents/vc-diligence-analyst.md","Diligence Analyst")</f>
        <v/>
      </c>
      <c r="G301" s="15" t="inlineStr"/>
      <c r="H301" s="16">
        <f>HYPERLINK('Link Config'!$B$2&amp;"plugins/vc/alludium/documents/deal-room/diligence-report-template.md","Diligence Report Template (output_template, to unit_economics_artifact_id)")</f>
        <v/>
      </c>
      <c r="I301" s="15" t="inlineStr">
        <is>
          <t>alludium-platform
harmonic-mcp-oauth
affinity-mcp-server
exa-mcp-hosted
brave-search-mcp
serpapi-mcp
firecrawl-mcp-hosted
dealroom-mcp</t>
        </is>
      </c>
      <c r="J301" s="15" t="inlineStr">
        <is>
          <t>run-financial-dd</t>
        </is>
      </c>
      <c r="K301" s="15" t="inlineStr">
        <is>
          <t>project_instance</t>
        </is>
      </c>
    </row>
    <row r="302" ht="120" customHeight="1" s="12">
      <c r="A302" s="15" t="inlineStr">
        <is>
          <t>Hunter</t>
        </is>
      </c>
      <c r="B302" s="15" t="inlineStr">
        <is>
          <t>Investment Management</t>
        </is>
      </c>
      <c r="C302" s="15" t="inlineStr">
        <is>
          <t>Formal Diligence</t>
        </is>
      </c>
      <c r="D302" s="16">
        <f>HYPERLINK('Link Config'!$B$2&amp;"plugins/vc/tasks/run-financial-dd.md","Run Financial DD")</f>
        <v/>
      </c>
      <c r="E302" s="15" t="inlineStr">
        <is>
          <t>Run Financial DD for one venture-capital opportunity with evidence capture, human review gates, and next-action recommendations.</t>
        </is>
      </c>
      <c r="F302" s="16">
        <f>HYPERLINK('Link Config'!$B$2&amp;"plugins/vc/agents/vc-diligence-analyst.md","Diligence Analyst")</f>
        <v/>
      </c>
      <c r="G302" s="15" t="inlineStr"/>
      <c r="H302" s="16">
        <f>HYPERLINK('Link Config'!$B$2&amp;"plugins/vc/alludium/documents/shared/evidence-citation-style-guide.md","Evidence And Citation Style Guide (style_guide)")</f>
        <v/>
      </c>
      <c r="I302" s="15" t="inlineStr">
        <is>
          <t>alludium-platform
harmonic-mcp-oauth
affinity-mcp-server
exa-mcp-hosted
brave-search-mcp
serpapi-mcp
firecrawl-mcp-hosted
dealroom-mcp</t>
        </is>
      </c>
      <c r="J302" s="15" t="inlineStr">
        <is>
          <t>run-financial-dd</t>
        </is>
      </c>
      <c r="K302" s="15" t="inlineStr">
        <is>
          <t>project_instance</t>
        </is>
      </c>
    </row>
    <row r="303" ht="120" customHeight="1" s="12">
      <c r="A303" s="15" t="inlineStr">
        <is>
          <t>Hunter</t>
        </is>
      </c>
      <c r="B303" s="15" t="inlineStr">
        <is>
          <t>Investment Management</t>
        </is>
      </c>
      <c r="C303" s="15" t="inlineStr">
        <is>
          <t>Formal Diligence</t>
        </is>
      </c>
      <c r="D303" s="16">
        <f>HYPERLINK('Link Config'!$B$2&amp;"plugins/vc/tasks/run-financial-dd.md","Run Financial DD")</f>
        <v/>
      </c>
      <c r="E303" s="15" t="inlineStr">
        <is>
          <t>Run Financial DD for one venture-capital opportunity with evidence capture, human review gates, and next-action recommendations.</t>
        </is>
      </c>
      <c r="F303" s="16">
        <f>HYPERLINK('Link Config'!$B$2&amp;"plugins/vc/agents/vc-diligence-analyst.md","Diligence Analyst")</f>
        <v/>
      </c>
      <c r="G303" s="15" t="inlineStr"/>
      <c r="H303" s="16">
        <f>HYPERLINK('Link Config'!$B$2&amp;"plugins/vc/alludium/documents/shared/template-use-guidance.md","Template Use Guidance (operating_guidance)")</f>
        <v/>
      </c>
      <c r="I303" s="15" t="inlineStr">
        <is>
          <t>alludium-platform
harmonic-mcp-oauth
affinity-mcp-server
exa-mcp-hosted
brave-search-mcp
serpapi-mcp
firecrawl-mcp-hosted
dealroom-mcp</t>
        </is>
      </c>
      <c r="J303" s="15" t="inlineStr">
        <is>
          <t>run-financial-dd</t>
        </is>
      </c>
      <c r="K303" s="15" t="inlineStr">
        <is>
          <t>project_instance</t>
        </is>
      </c>
    </row>
    <row r="304" ht="120" customHeight="1" s="12">
      <c r="A304" s="15" t="inlineStr">
        <is>
          <t>Hunter</t>
        </is>
      </c>
      <c r="B304" s="15" t="inlineStr">
        <is>
          <t>Investment Management</t>
        </is>
      </c>
      <c r="C304" s="15" t="inlineStr">
        <is>
          <t>Formal Diligence</t>
        </is>
      </c>
      <c r="D304" s="16">
        <f>HYPERLINK('Link Config'!$B$2&amp;"plugins/vc/tasks/run-founder-evaluation.md","Run Founder Evaluation")</f>
        <v/>
      </c>
      <c r="E304" s="15" t="inlineStr">
        <is>
          <t>Run Founder Evaluation for one venture-capital opportunity with evidence capture, human review gates, and next-action recommendations.</t>
        </is>
      </c>
      <c r="F304" s="16">
        <f>HYPERLINK('Link Config'!$B$2&amp;"plugins/vc/agents/vc-diligence-analyst.md","Diligence Analyst")</f>
        <v/>
      </c>
      <c r="G304" s="16">
        <f>HYPERLINK('Link Config'!$B$2&amp;"plugins/vc/skills/team-and-hiring-assessment/SKILL.md","Team &amp; Hiring Assessment")</f>
        <v/>
      </c>
      <c r="H304" s="16">
        <f>HYPERLINK('Link Config'!$B$2&amp;"plugins/vc/alludium/documents/deal-room/diligence-report-template.md","Diligence Report Template (output_template, to founder_evaluation_artifact_id)")</f>
        <v/>
      </c>
      <c r="I304" s="15" t="inlineStr">
        <is>
          <t>alludium-platform
harmonic-mcp-oauth
affinity-mcp-server
exa-mcp-hosted
brave-search-mcp
serpapi-mcp
firecrawl-mcp-hosted
dealroom-mcp</t>
        </is>
      </c>
      <c r="J304" s="15" t="inlineStr">
        <is>
          <t>run-founder-evaluation</t>
        </is>
      </c>
      <c r="K304" s="15" t="inlineStr">
        <is>
          <t>project_instance</t>
        </is>
      </c>
    </row>
    <row r="305" ht="120" customHeight="1" s="12">
      <c r="A305" s="15" t="inlineStr">
        <is>
          <t>Hunter</t>
        </is>
      </c>
      <c r="B305" s="15" t="inlineStr">
        <is>
          <t>Investment Management</t>
        </is>
      </c>
      <c r="C305" s="15" t="inlineStr">
        <is>
          <t>Formal Diligence</t>
        </is>
      </c>
      <c r="D305" s="16">
        <f>HYPERLINK('Link Config'!$B$2&amp;"plugins/vc/tasks/run-founder-evaluation.md","Run Founder Evaluation")</f>
        <v/>
      </c>
      <c r="E305" s="15" t="inlineStr">
        <is>
          <t>Run Founder Evaluation for one venture-capital opportunity with evidence capture, human review gates, and next-action recommendations.</t>
        </is>
      </c>
      <c r="F305" s="16">
        <f>HYPERLINK('Link Config'!$B$2&amp;"plugins/vc/agents/vc-diligence-analyst.md","Diligence Analyst")</f>
        <v/>
      </c>
      <c r="G305" s="16">
        <f>HYPERLINK('Link Config'!$B$2&amp;"plugins/vc/skills/red-flags-scanner/SKILL.md","Red Flags Scanner")</f>
        <v/>
      </c>
      <c r="H305" s="16">
        <f>HYPERLINK('Link Config'!$B$2&amp;"plugins/vc/alludium/documents/deal-room/formal-diligence-workstream-guide.md","Formal Diligence Workstream Guide (methodology)")</f>
        <v/>
      </c>
      <c r="I305" s="15" t="inlineStr">
        <is>
          <t>alludium-platform
harmonic-mcp-oauth
affinity-mcp-server
exa-mcp-hosted
brave-search-mcp
serpapi-mcp
firecrawl-mcp-hosted
dealroom-mcp</t>
        </is>
      </c>
      <c r="J305" s="15" t="inlineStr">
        <is>
          <t>run-founder-evaluation</t>
        </is>
      </c>
      <c r="K305" s="15" t="inlineStr">
        <is>
          <t>project_instance</t>
        </is>
      </c>
    </row>
    <row r="306" ht="120" customHeight="1" s="12">
      <c r="A306" s="15" t="inlineStr">
        <is>
          <t>Hunter</t>
        </is>
      </c>
      <c r="B306" s="15" t="inlineStr">
        <is>
          <t>Investment Management</t>
        </is>
      </c>
      <c r="C306" s="15" t="inlineStr">
        <is>
          <t>Formal Diligence</t>
        </is>
      </c>
      <c r="D306" s="16">
        <f>HYPERLINK('Link Config'!$B$2&amp;"plugins/vc/tasks/run-founder-evaluation.md","Run Founder Evaluation")</f>
        <v/>
      </c>
      <c r="E306" s="15" t="inlineStr">
        <is>
          <t>Run Founder Evaluation for one venture-capital opportunity with evidence capture, human review gates, and next-action recommendations.</t>
        </is>
      </c>
      <c r="F306" s="16">
        <f>HYPERLINK('Link Config'!$B$2&amp;"plugins/vc/agents/vc-diligence-analyst.md","Diligence Analyst")</f>
        <v/>
      </c>
      <c r="G306" s="16">
        <f>HYPERLINK('Link Config'!$B$2&amp;"plugins/vc/skills/citation-enforcement/SKILL.md","Citation Enforcement")</f>
        <v/>
      </c>
      <c r="H306" s="16">
        <f>HYPERLINK('Link Config'!$B$2&amp;"plugins/vc/alludium/documents/deal-room/formal-diligence-checklist.md","Formal Diligence Checklist (checklist)")</f>
        <v/>
      </c>
      <c r="I306" s="15" t="inlineStr">
        <is>
          <t>alludium-platform
harmonic-mcp-oauth
affinity-mcp-server
exa-mcp-hosted
brave-search-mcp
serpapi-mcp
firecrawl-mcp-hosted
dealroom-mcp</t>
        </is>
      </c>
      <c r="J306" s="15" t="inlineStr">
        <is>
          <t>run-founder-evaluation</t>
        </is>
      </c>
      <c r="K306" s="15" t="inlineStr">
        <is>
          <t>project_instance</t>
        </is>
      </c>
    </row>
    <row r="307" ht="120" customHeight="1" s="12">
      <c r="A307" s="15" t="inlineStr">
        <is>
          <t>Hunter</t>
        </is>
      </c>
      <c r="B307" s="15" t="inlineStr">
        <is>
          <t>Investment Management</t>
        </is>
      </c>
      <c r="C307" s="15" t="inlineStr">
        <is>
          <t>Formal Diligence</t>
        </is>
      </c>
      <c r="D307" s="16">
        <f>HYPERLINK('Link Config'!$B$2&amp;"plugins/vc/tasks/run-founder-evaluation.md","Run Founder Evaluation")</f>
        <v/>
      </c>
      <c r="E307" s="15" t="inlineStr">
        <is>
          <t>Run Founder Evaluation for one venture-capital opportunity with evidence capture, human review gates, and next-action recommendations.</t>
        </is>
      </c>
      <c r="F307" s="16">
        <f>HYPERLINK('Link Config'!$B$2&amp;"plugins/vc/agents/vc-diligence-analyst.md","Diligence Analyst")</f>
        <v/>
      </c>
      <c r="G307" s="16">
        <f>HYPERLINK('Link Config'!$B$2&amp;"plugins/vc/skills/founder-evaluation-and-reference-checking/SKILL.md","Founder Evaluation &amp; Reference Checking")</f>
        <v/>
      </c>
      <c r="H307" s="16">
        <f>HYPERLINK('Link Config'!$B$2&amp;"plugins/vc/alludium/documents/shared/evidence-citation-style-guide.md","Evidence And Citation Style Guide (style_guide)")</f>
        <v/>
      </c>
      <c r="I307" s="15" t="inlineStr">
        <is>
          <t>alludium-platform
harmonic-mcp-oauth
affinity-mcp-server
exa-mcp-hosted
brave-search-mcp
serpapi-mcp
firecrawl-mcp-hosted
dealroom-mcp</t>
        </is>
      </c>
      <c r="J307" s="15" t="inlineStr">
        <is>
          <t>run-founder-evaluation</t>
        </is>
      </c>
      <c r="K307" s="15" t="inlineStr">
        <is>
          <t>project_instance</t>
        </is>
      </c>
    </row>
    <row r="308" ht="120" customHeight="1" s="12">
      <c r="A308" s="15" t="inlineStr">
        <is>
          <t>Hunter</t>
        </is>
      </c>
      <c r="B308" s="15" t="inlineStr">
        <is>
          <t>Investment Management</t>
        </is>
      </c>
      <c r="C308" s="15" t="inlineStr">
        <is>
          <t>Formal Diligence</t>
        </is>
      </c>
      <c r="D308" s="16">
        <f>HYPERLINK('Link Config'!$B$2&amp;"plugins/vc/tasks/run-founder-evaluation.md","Run Founder Evaluation")</f>
        <v/>
      </c>
      <c r="E308" s="15" t="inlineStr">
        <is>
          <t>Run Founder Evaluation for one venture-capital opportunity with evidence capture, human review gates, and next-action recommendations.</t>
        </is>
      </c>
      <c r="F308" s="16">
        <f>HYPERLINK('Link Config'!$B$2&amp;"plugins/vc/agents/vc-diligence-analyst.md","Diligence Analyst")</f>
        <v/>
      </c>
      <c r="G308" s="15" t="inlineStr"/>
      <c r="H308" s="16">
        <f>HYPERLINK('Link Config'!$B$2&amp;"plugins/vc/alludium/documents/shared/template-use-guidance.md","Template Use Guidance (operating_guidance)")</f>
        <v/>
      </c>
      <c r="I308" s="15" t="inlineStr">
        <is>
          <t>alludium-platform
harmonic-mcp-oauth
affinity-mcp-server
exa-mcp-hosted
brave-search-mcp
serpapi-mcp
firecrawl-mcp-hosted
dealroom-mcp</t>
        </is>
      </c>
      <c r="J308" s="15" t="inlineStr">
        <is>
          <t>run-founder-evaluation</t>
        </is>
      </c>
      <c r="K308" s="15" t="inlineStr">
        <is>
          <t>project_instance</t>
        </is>
      </c>
    </row>
    <row r="309" ht="120" customHeight="1" s="12">
      <c r="A309" s="15" t="inlineStr">
        <is>
          <t>Hunter</t>
        </is>
      </c>
      <c r="B309" s="15" t="inlineStr">
        <is>
          <t>Investment Management</t>
        </is>
      </c>
      <c r="C309" s="15" t="inlineStr">
        <is>
          <t>Formal Diligence</t>
        </is>
      </c>
      <c r="D309" s="16">
        <f>HYPERLINK('Link Config'!$B$2&amp;"plugins/vc/tasks/run-technical-dd.md","Run Technical DD")</f>
        <v/>
      </c>
      <c r="E309" s="15" t="inlineStr">
        <is>
          <t>Run Technical DD for one venture-capital opportunity with evidence capture, human review gates, and next-action recommendations.</t>
        </is>
      </c>
      <c r="F309" s="16">
        <f>HYPERLINK('Link Config'!$B$2&amp;"plugins/vc/agents/vc-diligence-analyst.md","Diligence Analyst")</f>
        <v/>
      </c>
      <c r="G309" s="16">
        <f>HYPERLINK('Link Config'!$B$2&amp;"plugins/vc/skills/team-and-hiring-assessment/SKILL.md","Team &amp; Hiring Assessment")</f>
        <v/>
      </c>
      <c r="H309" s="16">
        <f>HYPERLINK('Link Config'!$B$2&amp;"plugins/vc/alludium/documents/deal-room/diligence-report-template.md","Diligence Report Template (output_template, to technical_dd_artifact_id)")</f>
        <v/>
      </c>
      <c r="I309" s="15" t="inlineStr">
        <is>
          <t>alludium-platform
harmonic-mcp-oauth
affinity-mcp-server
exa-mcp-hosted
brave-search-mcp
serpapi-mcp
firecrawl-mcp-hosted
dealroom-mcp</t>
        </is>
      </c>
      <c r="J309" s="15" t="inlineStr">
        <is>
          <t>run-technical-dd</t>
        </is>
      </c>
      <c r="K309" s="15" t="inlineStr">
        <is>
          <t>project_instance</t>
        </is>
      </c>
    </row>
    <row r="310" ht="120" customHeight="1" s="12">
      <c r="A310" s="15" t="inlineStr">
        <is>
          <t>Hunter</t>
        </is>
      </c>
      <c r="B310" s="15" t="inlineStr">
        <is>
          <t>Investment Management</t>
        </is>
      </c>
      <c r="C310" s="15" t="inlineStr">
        <is>
          <t>Formal Diligence</t>
        </is>
      </c>
      <c r="D310" s="16">
        <f>HYPERLINK('Link Config'!$B$2&amp;"plugins/vc/tasks/run-technical-dd.md","Run Technical DD")</f>
        <v/>
      </c>
      <c r="E310" s="15" t="inlineStr">
        <is>
          <t>Run Technical DD for one venture-capital opportunity with evidence capture, human review gates, and next-action recommendations.</t>
        </is>
      </c>
      <c r="F310" s="16">
        <f>HYPERLINK('Link Config'!$B$2&amp;"plugins/vc/agents/vc-diligence-analyst.md","Diligence Analyst")</f>
        <v/>
      </c>
      <c r="G310" s="16">
        <f>HYPERLINK('Link Config'!$B$2&amp;"plugins/vc/skills/red-flags-scanner/SKILL.md","Red Flags Scanner")</f>
        <v/>
      </c>
      <c r="H310" s="16">
        <f>HYPERLINK('Link Config'!$B$2&amp;"plugins/vc/alludium/documents/deal-room/formal-diligence-workstream-guide.md","Formal Diligence Workstream Guide (methodology)")</f>
        <v/>
      </c>
      <c r="I310" s="15" t="inlineStr">
        <is>
          <t>alludium-platform
harmonic-mcp-oauth
affinity-mcp-server
exa-mcp-hosted
brave-search-mcp
serpapi-mcp
firecrawl-mcp-hosted
dealroom-mcp</t>
        </is>
      </c>
      <c r="J310" s="15" t="inlineStr">
        <is>
          <t>run-technical-dd</t>
        </is>
      </c>
      <c r="K310" s="15" t="inlineStr">
        <is>
          <t>project_instance</t>
        </is>
      </c>
    </row>
    <row r="311" ht="120" customHeight="1" s="12">
      <c r="A311" s="15" t="inlineStr">
        <is>
          <t>Hunter</t>
        </is>
      </c>
      <c r="B311" s="15" t="inlineStr">
        <is>
          <t>Investment Management</t>
        </is>
      </c>
      <c r="C311" s="15" t="inlineStr">
        <is>
          <t>Formal Diligence</t>
        </is>
      </c>
      <c r="D311" s="16">
        <f>HYPERLINK('Link Config'!$B$2&amp;"plugins/vc/tasks/run-technical-dd.md","Run Technical DD")</f>
        <v/>
      </c>
      <c r="E311" s="15" t="inlineStr">
        <is>
          <t>Run Technical DD for one venture-capital opportunity with evidence capture, human review gates, and next-action recommendations.</t>
        </is>
      </c>
      <c r="F311" s="16">
        <f>HYPERLINK('Link Config'!$B$2&amp;"plugins/vc/agents/vc-diligence-analyst.md","Diligence Analyst")</f>
        <v/>
      </c>
      <c r="G311" s="16">
        <f>HYPERLINK('Link Config'!$B$2&amp;"plugins/vc/skills/citation-enforcement/SKILL.md","Citation Enforcement")</f>
        <v/>
      </c>
      <c r="H311" s="16">
        <f>HYPERLINK('Link Config'!$B$2&amp;"plugins/vc/alludium/documents/deal-room/formal-diligence-checklist.md","Formal Diligence Checklist (checklist)")</f>
        <v/>
      </c>
      <c r="I311" s="15" t="inlineStr">
        <is>
          <t>alludium-platform
harmonic-mcp-oauth
affinity-mcp-server
exa-mcp-hosted
brave-search-mcp
serpapi-mcp
firecrawl-mcp-hosted
dealroom-mcp</t>
        </is>
      </c>
      <c r="J311" s="15" t="inlineStr">
        <is>
          <t>run-technical-dd</t>
        </is>
      </c>
      <c r="K311" s="15" t="inlineStr">
        <is>
          <t>project_instance</t>
        </is>
      </c>
    </row>
    <row r="312" ht="120" customHeight="1" s="12">
      <c r="A312" s="15" t="inlineStr">
        <is>
          <t>Hunter</t>
        </is>
      </c>
      <c r="B312" s="15" t="inlineStr">
        <is>
          <t>Investment Management</t>
        </is>
      </c>
      <c r="C312" s="15" t="inlineStr">
        <is>
          <t>Formal Diligence</t>
        </is>
      </c>
      <c r="D312" s="16">
        <f>HYPERLINK('Link Config'!$B$2&amp;"plugins/vc/tasks/run-technical-dd.md","Run Technical DD")</f>
        <v/>
      </c>
      <c r="E312" s="15" t="inlineStr">
        <is>
          <t>Run Technical DD for one venture-capital opportunity with evidence capture, human review gates, and next-action recommendations.</t>
        </is>
      </c>
      <c r="F312" s="16">
        <f>HYPERLINK('Link Config'!$B$2&amp;"plugins/vc/agents/vc-diligence-analyst.md","Diligence Analyst")</f>
        <v/>
      </c>
      <c r="G312" s="16">
        <f>HYPERLINK('Link Config'!$B$2&amp;"plugins/vc/skills/technical-diligence-workstream/SKILL.md","Technical Diligence Workstream")</f>
        <v/>
      </c>
      <c r="H312" s="16">
        <f>HYPERLINK('Link Config'!$B$2&amp;"plugins/vc/alludium/documents/shared/evidence-citation-style-guide.md","Evidence And Citation Style Guide (style_guide)")</f>
        <v/>
      </c>
      <c r="I312" s="15" t="inlineStr">
        <is>
          <t>alludium-platform
harmonic-mcp-oauth
affinity-mcp-server
exa-mcp-hosted
brave-search-mcp
serpapi-mcp
firecrawl-mcp-hosted
dealroom-mcp</t>
        </is>
      </c>
      <c r="J312" s="15" t="inlineStr">
        <is>
          <t>run-technical-dd</t>
        </is>
      </c>
      <c r="K312" s="15" t="inlineStr">
        <is>
          <t>project_instance</t>
        </is>
      </c>
    </row>
    <row r="313" ht="120" customHeight="1" s="12">
      <c r="A313" s="15" t="inlineStr">
        <is>
          <t>Hunter</t>
        </is>
      </c>
      <c r="B313" s="15" t="inlineStr">
        <is>
          <t>Investment Management</t>
        </is>
      </c>
      <c r="C313" s="15" t="inlineStr">
        <is>
          <t>Formal Diligence</t>
        </is>
      </c>
      <c r="D313" s="16">
        <f>HYPERLINK('Link Config'!$B$2&amp;"plugins/vc/tasks/run-technical-dd.md","Run Technical DD")</f>
        <v/>
      </c>
      <c r="E313" s="15" t="inlineStr">
        <is>
          <t>Run Technical DD for one venture-capital opportunity with evidence capture, human review gates, and next-action recommendations.</t>
        </is>
      </c>
      <c r="F313" s="16">
        <f>HYPERLINK('Link Config'!$B$2&amp;"plugins/vc/agents/vc-diligence-analyst.md","Diligence Analyst")</f>
        <v/>
      </c>
      <c r="G313" s="15" t="inlineStr"/>
      <c r="H313" s="16">
        <f>HYPERLINK('Link Config'!$B$2&amp;"plugins/vc/alludium/documents/shared/template-use-guidance.md","Template Use Guidance (operating_guidance)")</f>
        <v/>
      </c>
      <c r="I313" s="15" t="inlineStr">
        <is>
          <t>alludium-platform
harmonic-mcp-oauth
affinity-mcp-server
exa-mcp-hosted
brave-search-mcp
serpapi-mcp
firecrawl-mcp-hosted
dealroom-mcp</t>
        </is>
      </c>
      <c r="J313" s="15" t="inlineStr">
        <is>
          <t>run-technical-dd</t>
        </is>
      </c>
      <c r="K313" s="15" t="inlineStr">
        <is>
          <t>project_instance</t>
        </is>
      </c>
    </row>
    <row r="314" ht="90" customHeight="1" s="12">
      <c r="A314" s="15" t="inlineStr"/>
      <c r="B314" s="15" t="inlineStr">
        <is>
          <t>Investment Management</t>
        </is>
      </c>
      <c r="C314" s="15" t="inlineStr">
        <is>
          <t>Formal Diligence</t>
        </is>
      </c>
      <c r="D314" s="16">
        <f>HYPERLINK('Link Config'!$B$2&amp;"plugins/vc/tasks/run-legal-diligence.md","Run Legal Diligence")</f>
        <v/>
      </c>
      <c r="E314" s="15" t="inlineStr">
        <is>
          <t>Coordinate legal diligence document indexing, issue tracking, counsel questions, and showstopper-risk review support without providing legal advice.</t>
        </is>
      </c>
      <c r="F314" s="16">
        <f>HYPERLINK('Link Config'!$B$2&amp;"plugins/vc/agents/vc-legal-compliance-desk.md","Legal &amp; Compliance Desk")</f>
        <v/>
      </c>
      <c r="G314" s="16">
        <f>HYPERLINK('Link Config'!$B$2&amp;"plugins/vc/skills/legal-diligence-coordination/SKILL.md","Legal Diligence Coordination")</f>
        <v/>
      </c>
      <c r="H314" s="16">
        <f>HYPERLINK('Link Config'!$B$2&amp;"plugins/vc/alludium/documents/deal-room/legal-diligence-tracker-template.md","Legal Diligence Tracker Template (output_template, to legal_diligence_artifact_id)")</f>
        <v/>
      </c>
      <c r="I314" s="15" t="inlineStr">
        <is>
          <t>alludium-platform
affinity-mcp-server
exa-mcp-hosted
brave-search-mcp
dealroom-mcp
google_drive</t>
        </is>
      </c>
      <c r="J314" s="15" t="inlineStr">
        <is>
          <t>run-legal-diligence</t>
        </is>
      </c>
      <c r="K314" s="15" t="inlineStr">
        <is>
          <t>project_instance</t>
        </is>
      </c>
    </row>
    <row r="315" ht="90" customHeight="1" s="12">
      <c r="A315" s="15" t="inlineStr"/>
      <c r="B315" s="15" t="inlineStr">
        <is>
          <t>Investment Management</t>
        </is>
      </c>
      <c r="C315" s="15" t="inlineStr">
        <is>
          <t>Formal Diligence</t>
        </is>
      </c>
      <c r="D315" s="16">
        <f>HYPERLINK('Link Config'!$B$2&amp;"plugins/vc/tasks/run-legal-diligence.md","Run Legal Diligence")</f>
        <v/>
      </c>
      <c r="E315" s="15" t="inlineStr">
        <is>
          <t>Coordinate legal diligence document indexing, issue tracking, counsel questions, and showstopper-risk review support without providing legal advice.</t>
        </is>
      </c>
      <c r="F315" s="16">
        <f>HYPERLINK('Link Config'!$B$2&amp;"plugins/vc/agents/vc-legal-compliance-desk.md","Legal &amp; Compliance Desk")</f>
        <v/>
      </c>
      <c r="G315" s="16">
        <f>HYPERLINK('Link Config'!$B$2&amp;"plugins/vc/skills/red-flags-scanner/SKILL.md","Red Flags Scanner")</f>
        <v/>
      </c>
      <c r="H315" s="16">
        <f>HYPERLINK('Link Config'!$B$2&amp;"plugins/vc/alludium/documents/deal-room/legal-diligence-guide.md","Legal Diligence Guide (methodology)")</f>
        <v/>
      </c>
      <c r="I315" s="15" t="inlineStr">
        <is>
          <t>alludium-platform
affinity-mcp-server
exa-mcp-hosted
brave-search-mcp
dealroom-mcp
google_drive</t>
        </is>
      </c>
      <c r="J315" s="15" t="inlineStr">
        <is>
          <t>run-legal-diligence</t>
        </is>
      </c>
      <c r="K315" s="15" t="inlineStr">
        <is>
          <t>project_instance</t>
        </is>
      </c>
    </row>
    <row r="316" ht="90" customHeight="1" s="12">
      <c r="A316" s="15" t="inlineStr"/>
      <c r="B316" s="15" t="inlineStr">
        <is>
          <t>Investment Management</t>
        </is>
      </c>
      <c r="C316" s="15" t="inlineStr">
        <is>
          <t>Formal Diligence</t>
        </is>
      </c>
      <c r="D316" s="16">
        <f>HYPERLINK('Link Config'!$B$2&amp;"plugins/vc/tasks/run-legal-diligence.md","Run Legal Diligence")</f>
        <v/>
      </c>
      <c r="E316" s="15" t="inlineStr">
        <is>
          <t>Coordinate legal diligence document indexing, issue tracking, counsel questions, and showstopper-risk review support without providing legal advice.</t>
        </is>
      </c>
      <c r="F316" s="16">
        <f>HYPERLINK('Link Config'!$B$2&amp;"plugins/vc/agents/vc-legal-compliance-desk.md","Legal &amp; Compliance Desk")</f>
        <v/>
      </c>
      <c r="G316" s="16">
        <f>HYPERLINK('Link Config'!$B$2&amp;"plugins/vc/skills/citation-enforcement/SKILL.md","Citation Enforcement")</f>
        <v/>
      </c>
      <c r="H316" s="16">
        <f>HYPERLINK('Link Config'!$B$2&amp;"plugins/vc/alludium/documents/deal-room/formal-diligence-workstream-guide.md","Formal Diligence Workstream Guide (methodology)")</f>
        <v/>
      </c>
      <c r="I316" s="15" t="inlineStr">
        <is>
          <t>alludium-platform
affinity-mcp-server
exa-mcp-hosted
brave-search-mcp
dealroom-mcp
google_drive</t>
        </is>
      </c>
      <c r="J316" s="15" t="inlineStr">
        <is>
          <t>run-legal-diligence</t>
        </is>
      </c>
      <c r="K316" s="15" t="inlineStr">
        <is>
          <t>project_instance</t>
        </is>
      </c>
    </row>
    <row r="317" ht="90" customHeight="1" s="12">
      <c r="A317" s="15" t="inlineStr"/>
      <c r="B317" s="15" t="inlineStr">
        <is>
          <t>Investment Management</t>
        </is>
      </c>
      <c r="C317" s="15" t="inlineStr">
        <is>
          <t>Formal Diligence</t>
        </is>
      </c>
      <c r="D317" s="16">
        <f>HYPERLINK('Link Config'!$B$2&amp;"plugins/vc/tasks/run-legal-diligence.md","Run Legal Diligence")</f>
        <v/>
      </c>
      <c r="E317" s="15" t="inlineStr">
        <is>
          <t>Coordinate legal diligence document indexing, issue tracking, counsel questions, and showstopper-risk review support without providing legal advice.</t>
        </is>
      </c>
      <c r="F317" s="16">
        <f>HYPERLINK('Link Config'!$B$2&amp;"plugins/vc/agents/vc-legal-compliance-desk.md","Legal &amp; Compliance Desk")</f>
        <v/>
      </c>
      <c r="G317" s="15" t="inlineStr"/>
      <c r="H317" s="16">
        <f>HYPERLINK('Link Config'!$B$2&amp;"plugins/vc/alludium/documents/deal-room/formal-diligence-checklist.md","Formal Diligence Checklist (checklist)")</f>
        <v/>
      </c>
      <c r="I317" s="15" t="inlineStr">
        <is>
          <t>alludium-platform
affinity-mcp-server
exa-mcp-hosted
brave-search-mcp
dealroom-mcp
google_drive</t>
        </is>
      </c>
      <c r="J317" s="15" t="inlineStr">
        <is>
          <t>run-legal-diligence</t>
        </is>
      </c>
      <c r="K317" s="15" t="inlineStr">
        <is>
          <t>project_instance</t>
        </is>
      </c>
    </row>
    <row r="318" ht="90" customHeight="1" s="12">
      <c r="A318" s="15" t="inlineStr"/>
      <c r="B318" s="15" t="inlineStr">
        <is>
          <t>Investment Management</t>
        </is>
      </c>
      <c r="C318" s="15" t="inlineStr">
        <is>
          <t>Formal Diligence</t>
        </is>
      </c>
      <c r="D318" s="16">
        <f>HYPERLINK('Link Config'!$B$2&amp;"plugins/vc/tasks/run-legal-diligence.md","Run Legal Diligence")</f>
        <v/>
      </c>
      <c r="E318" s="15" t="inlineStr">
        <is>
          <t>Coordinate legal diligence document indexing, issue tracking, counsel questions, and showstopper-risk review support without providing legal advice.</t>
        </is>
      </c>
      <c r="F318" s="16">
        <f>HYPERLINK('Link Config'!$B$2&amp;"plugins/vc/agents/vc-legal-compliance-desk.md","Legal &amp; Compliance Desk")</f>
        <v/>
      </c>
      <c r="G318" s="15" t="inlineStr"/>
      <c r="H318" s="16">
        <f>HYPERLINK('Link Config'!$B$2&amp;"plugins/vc/alludium/documents/shared/evidence-citation-style-guide.md","Evidence And Citation Style Guide (style_guide)")</f>
        <v/>
      </c>
      <c r="I318" s="15" t="inlineStr">
        <is>
          <t>alludium-platform
affinity-mcp-server
exa-mcp-hosted
brave-search-mcp
dealroom-mcp
google_drive</t>
        </is>
      </c>
      <c r="J318" s="15" t="inlineStr">
        <is>
          <t>run-legal-diligence</t>
        </is>
      </c>
      <c r="K318" s="15" t="inlineStr">
        <is>
          <t>project_instance</t>
        </is>
      </c>
    </row>
    <row r="319" ht="90" customHeight="1" s="12">
      <c r="A319" s="15" t="inlineStr"/>
      <c r="B319" s="15" t="inlineStr">
        <is>
          <t>Investment Management</t>
        </is>
      </c>
      <c r="C319" s="15" t="inlineStr">
        <is>
          <t>Formal Diligence</t>
        </is>
      </c>
      <c r="D319" s="16">
        <f>HYPERLINK('Link Config'!$B$2&amp;"plugins/vc/tasks/run-legal-diligence.md","Run Legal Diligence")</f>
        <v/>
      </c>
      <c r="E319" s="15" t="inlineStr">
        <is>
          <t>Coordinate legal diligence document indexing, issue tracking, counsel questions, and showstopper-risk review support without providing legal advice.</t>
        </is>
      </c>
      <c r="F319" s="16">
        <f>HYPERLINK('Link Config'!$B$2&amp;"plugins/vc/agents/vc-legal-compliance-desk.md","Legal &amp; Compliance Desk")</f>
        <v/>
      </c>
      <c r="G319" s="15" t="inlineStr"/>
      <c r="H319" s="16">
        <f>HYPERLINK('Link Config'!$B$2&amp;"plugins/vc/alludium/documents/shared/template-use-guidance.md","Template Use Guidance (operating_guidance)")</f>
        <v/>
      </c>
      <c r="I319" s="15" t="inlineStr">
        <is>
          <t>alludium-platform
affinity-mcp-server
exa-mcp-hosted
brave-search-mcp
dealroom-mcp
google_drive</t>
        </is>
      </c>
      <c r="J319" s="15" t="inlineStr">
        <is>
          <t>run-legal-diligence</t>
        </is>
      </c>
      <c r="K319" s="15" t="inlineStr">
        <is>
          <t>project_instance</t>
        </is>
      </c>
    </row>
    <row r="320" ht="90" customHeight="1" s="12">
      <c r="A320" s="15" t="inlineStr"/>
      <c r="B320" s="15" t="inlineStr">
        <is>
          <t>Investment Management</t>
        </is>
      </c>
      <c r="C320" s="15" t="inlineStr">
        <is>
          <t>Contracts</t>
        </is>
      </c>
      <c r="D320" s="16">
        <f>HYPERLINK('Link Config'!$B$2&amp;"plugins/vc/tasks/review-investment-documents.md","Review Investment Documents")</f>
        <v/>
      </c>
      <c r="E320" s="15" t="inlineStr">
        <is>
          <t>Coordinate post-term-sheet investment document review, disclosure-letter issues, counsel questions, and closing readiness notes without providing legal advice.</t>
        </is>
      </c>
      <c r="F320" s="16">
        <f>HYPERLINK('Link Config'!$B$2&amp;"plugins/vc/agents/vc-legal-compliance-desk.md","Legal &amp; Compliance Desk")</f>
        <v/>
      </c>
      <c r="G320" s="16">
        <f>HYPERLINK('Link Config'!$B$2&amp;"plugins/vc/skills/legal-diligence-coordination/SKILL.md","Legal Diligence Coordination")</f>
        <v/>
      </c>
      <c r="H320" s="16">
        <f>HYPERLINK('Link Config'!$B$2&amp;"plugins/vc/alludium/documents/deal-room/investment-document-review-template.md","Investment Document Review Template (output_template, to investment_document_review_artifact_id)")</f>
        <v/>
      </c>
      <c r="I320" s="15" t="inlineStr">
        <is>
          <t>alludium-platform
affinity-mcp-server
exa-mcp-hosted
brave-search-mcp
dealroom-mcp
google_drive</t>
        </is>
      </c>
      <c r="J320" s="15" t="inlineStr">
        <is>
          <t>review-investment-documents</t>
        </is>
      </c>
      <c r="K320" s="15" t="inlineStr">
        <is>
          <t>project_instance</t>
        </is>
      </c>
    </row>
    <row r="321" ht="90" customHeight="1" s="12">
      <c r="A321" s="15" t="inlineStr"/>
      <c r="B321" s="15" t="inlineStr">
        <is>
          <t>Investment Management</t>
        </is>
      </c>
      <c r="C321" s="15" t="inlineStr">
        <is>
          <t>Contracts</t>
        </is>
      </c>
      <c r="D321" s="16">
        <f>HYPERLINK('Link Config'!$B$2&amp;"plugins/vc/tasks/review-investment-documents.md","Review Investment Documents")</f>
        <v/>
      </c>
      <c r="E321" s="15" t="inlineStr">
        <is>
          <t>Coordinate post-term-sheet investment document review, disclosure-letter issues, counsel questions, and closing readiness notes without providing legal advice.</t>
        </is>
      </c>
      <c r="F321" s="16">
        <f>HYPERLINK('Link Config'!$B$2&amp;"plugins/vc/agents/vc-legal-compliance-desk.md","Legal &amp; Compliance Desk")</f>
        <v/>
      </c>
      <c r="G321" s="16">
        <f>HYPERLINK('Link Config'!$B$2&amp;"plugins/vc/skills/closing-coordination-and-cp-tracking/SKILL.md","Closing Coordination &amp; CP Tracking")</f>
        <v/>
      </c>
      <c r="H321" s="16">
        <f>HYPERLINK('Link Config'!$B$2&amp;"plugins/vc/alludium/documents/deal-room/legal-diligence-guide.md","Legal Diligence Guide (methodology)")</f>
        <v/>
      </c>
      <c r="I321" s="15" t="inlineStr">
        <is>
          <t>alludium-platform
affinity-mcp-server
exa-mcp-hosted
brave-search-mcp
dealroom-mcp
google_drive</t>
        </is>
      </c>
      <c r="J321" s="15" t="inlineStr">
        <is>
          <t>review-investment-documents</t>
        </is>
      </c>
      <c r="K321" s="15" t="inlineStr">
        <is>
          <t>project_instance</t>
        </is>
      </c>
    </row>
    <row r="322" ht="90" customHeight="1" s="12">
      <c r="A322" s="15" t="inlineStr"/>
      <c r="B322" s="15" t="inlineStr">
        <is>
          <t>Investment Management</t>
        </is>
      </c>
      <c r="C322" s="15" t="inlineStr">
        <is>
          <t>Contracts</t>
        </is>
      </c>
      <c r="D322" s="16">
        <f>HYPERLINK('Link Config'!$B$2&amp;"plugins/vc/tasks/review-investment-documents.md","Review Investment Documents")</f>
        <v/>
      </c>
      <c r="E322" s="15" t="inlineStr">
        <is>
          <t>Coordinate post-term-sheet investment document review, disclosure-letter issues, counsel questions, and closing readiness notes without providing legal advice.</t>
        </is>
      </c>
      <c r="F322" s="16">
        <f>HYPERLINK('Link Config'!$B$2&amp;"plugins/vc/agents/vc-legal-compliance-desk.md","Legal &amp; Compliance Desk")</f>
        <v/>
      </c>
      <c r="G322" s="16">
        <f>HYPERLINK('Link Config'!$B$2&amp;"plugins/vc/skills/citation-enforcement/SKILL.md","Citation Enforcement")</f>
        <v/>
      </c>
      <c r="H322" s="16">
        <f>HYPERLINK('Link Config'!$B$2&amp;"plugins/vc/alludium/documents/shared/evidence-citation-style-guide.md","Evidence And Citation Style Guide (style_guide)")</f>
        <v/>
      </c>
      <c r="I322" s="15" t="inlineStr">
        <is>
          <t>alludium-platform
affinity-mcp-server
exa-mcp-hosted
brave-search-mcp
dealroom-mcp
google_drive</t>
        </is>
      </c>
      <c r="J322" s="15" t="inlineStr">
        <is>
          <t>review-investment-documents</t>
        </is>
      </c>
      <c r="K322" s="15" t="inlineStr">
        <is>
          <t>project_instance</t>
        </is>
      </c>
    </row>
    <row r="323" ht="90" customHeight="1" s="12">
      <c r="A323" s="15" t="inlineStr"/>
      <c r="B323" s="15" t="inlineStr">
        <is>
          <t>Investment Management</t>
        </is>
      </c>
      <c r="C323" s="15" t="inlineStr">
        <is>
          <t>Contracts</t>
        </is>
      </c>
      <c r="D323" s="16">
        <f>HYPERLINK('Link Config'!$B$2&amp;"plugins/vc/tasks/review-investment-documents.md","Review Investment Documents")</f>
        <v/>
      </c>
      <c r="E323" s="15" t="inlineStr">
        <is>
          <t>Coordinate post-term-sheet investment document review, disclosure-letter issues, counsel questions, and closing readiness notes without providing legal advice.</t>
        </is>
      </c>
      <c r="F323" s="16">
        <f>HYPERLINK('Link Config'!$B$2&amp;"plugins/vc/agents/vc-legal-compliance-desk.md","Legal &amp; Compliance Desk")</f>
        <v/>
      </c>
      <c r="G323" s="15" t="inlineStr"/>
      <c r="H323" s="16">
        <f>HYPERLINK('Link Config'!$B$2&amp;"plugins/vc/alludium/documents/shared/template-use-guidance.md","Template Use Guidance (operating_guidance)")</f>
        <v/>
      </c>
      <c r="I323" s="15" t="inlineStr">
        <is>
          <t>alludium-platform
affinity-mcp-server
exa-mcp-hosted
brave-search-mcp
dealroom-mcp
google_drive</t>
        </is>
      </c>
      <c r="J323" s="15" t="inlineStr">
        <is>
          <t>review-investment-documents</t>
        </is>
      </c>
      <c r="K323" s="15" t="inlineStr">
        <is>
          <t>project_instance</t>
        </is>
      </c>
    </row>
    <row r="324" ht="90" customHeight="1" s="12">
      <c r="A324" s="15" t="inlineStr"/>
      <c r="B324" s="15" t="inlineStr">
        <is>
          <t>Investment Management</t>
        </is>
      </c>
      <c r="C324" s="15" t="inlineStr">
        <is>
          <t>Closing</t>
        </is>
      </c>
      <c r="D324" s="16">
        <f>HYPERLINK('Link Config'!$B$2&amp;"plugins/vc/tasks/manage-closing-checklist.md","Manage Closing Checklist")</f>
        <v/>
      </c>
      <c r="E324" s="15" t="inlineStr">
        <is>
          <t>Manage Closing Checklist for one venture-capital opportunity with evidence capture, human review gates, and next-action recommendations.</t>
        </is>
      </c>
      <c r="F324" s="16">
        <f>HYPERLINK('Link Config'!$B$2&amp;"plugins/vc/agents/vc-legal-compliance-desk.md","Legal &amp; Compliance Desk")</f>
        <v/>
      </c>
      <c r="G324" s="16">
        <f>HYPERLINK('Link Config'!$B$2&amp;"plugins/vc/skills/citation-enforcement/SKILL.md","Citation Enforcement")</f>
        <v/>
      </c>
      <c r="H324" s="16">
        <f>HYPERLINK('Link Config'!$B$2&amp;"plugins/vc/alludium/documents/deal-room/closing-checklist.md","Closing Checklist (output_template, to closing_checklist_artifact_id)")</f>
        <v/>
      </c>
      <c r="I324" s="15" t="inlineStr">
        <is>
          <t>alludium-platform
affinity-mcp-server
exa-mcp-hosted
brave-search-mcp
dealroom-mcp
google_drive</t>
        </is>
      </c>
      <c r="J324" s="15" t="inlineStr">
        <is>
          <t>manage-closing-checklist</t>
        </is>
      </c>
      <c r="K324" s="15" t="inlineStr">
        <is>
          <t>project_instance</t>
        </is>
      </c>
    </row>
    <row r="325" ht="90" customHeight="1" s="12">
      <c r="A325" s="15" t="inlineStr"/>
      <c r="B325" s="15" t="inlineStr">
        <is>
          <t>Investment Management</t>
        </is>
      </c>
      <c r="C325" s="15" t="inlineStr">
        <is>
          <t>Closing</t>
        </is>
      </c>
      <c r="D325" s="16">
        <f>HYPERLINK('Link Config'!$B$2&amp;"plugins/vc/tasks/manage-closing-checklist.md","Manage Closing Checklist")</f>
        <v/>
      </c>
      <c r="E325" s="15" t="inlineStr">
        <is>
          <t>Manage Closing Checklist for one venture-capital opportunity with evidence capture, human review gates, and next-action recommendations.</t>
        </is>
      </c>
      <c r="F325" s="16">
        <f>HYPERLINK('Link Config'!$B$2&amp;"plugins/vc/agents/vc-legal-compliance-desk.md","Legal &amp; Compliance Desk")</f>
        <v/>
      </c>
      <c r="G325" s="16">
        <f>HYPERLINK('Link Config'!$B$2&amp;"plugins/vc/skills/closing-coordination-and-cp-tracking/SKILL.md","Closing Coordination &amp; CP Tracking")</f>
        <v/>
      </c>
      <c r="H325" s="16">
        <f>HYPERLINK('Link Config'!$B$2&amp;"plugins/vc/alludium/documents/deal-room/legal-diligence-guide.md","Legal Diligence Guide (methodology)")</f>
        <v/>
      </c>
      <c r="I325" s="15" t="inlineStr">
        <is>
          <t>alludium-platform
affinity-mcp-server
exa-mcp-hosted
brave-search-mcp
dealroom-mcp
google_drive</t>
        </is>
      </c>
      <c r="J325" s="15" t="inlineStr">
        <is>
          <t>manage-closing-checklist</t>
        </is>
      </c>
      <c r="K325" s="15" t="inlineStr">
        <is>
          <t>project_instance</t>
        </is>
      </c>
    </row>
    <row r="326" ht="90" customHeight="1" s="12">
      <c r="A326" s="15" t="inlineStr"/>
      <c r="B326" s="15" t="inlineStr">
        <is>
          <t>Investment Management</t>
        </is>
      </c>
      <c r="C326" s="15" t="inlineStr">
        <is>
          <t>Closing</t>
        </is>
      </c>
      <c r="D326" s="16">
        <f>HYPERLINK('Link Config'!$B$2&amp;"plugins/vc/tasks/manage-closing-checklist.md","Manage Closing Checklist")</f>
        <v/>
      </c>
      <c r="E326" s="15" t="inlineStr">
        <is>
          <t>Manage Closing Checklist for one venture-capital opportunity with evidence capture, human review gates, and next-action recommendations.</t>
        </is>
      </c>
      <c r="F326" s="16">
        <f>HYPERLINK('Link Config'!$B$2&amp;"plugins/vc/agents/vc-legal-compliance-desk.md","Legal &amp; Compliance Desk")</f>
        <v/>
      </c>
      <c r="G326" s="16">
        <f>HYPERLINK('Link Config'!$B$2&amp;"plugins/vc/skills/vc-task-and-next-step-generation/SKILL.md","VC Task &amp; Next-Step Generation")</f>
        <v/>
      </c>
      <c r="H326" s="16">
        <f>HYPERLINK('Link Config'!$B$2&amp;"plugins/vc/alludium/documents/shared/template-use-guidance.md","Template Use Guidance (operating_guidance)")</f>
        <v/>
      </c>
      <c r="I326" s="15" t="inlineStr">
        <is>
          <t>alludium-platform
affinity-mcp-server
exa-mcp-hosted
brave-search-mcp
dealroom-mcp
google_drive</t>
        </is>
      </c>
      <c r="J326" s="15" t="inlineStr">
        <is>
          <t>manage-closing-checklist</t>
        </is>
      </c>
      <c r="K326" s="15" t="inlineStr">
        <is>
          <t>project_instance</t>
        </is>
      </c>
    </row>
    <row r="327" ht="90" customHeight="1" s="12">
      <c r="A327" s="15" t="inlineStr"/>
      <c r="B327" s="15" t="inlineStr">
        <is>
          <t>Investment Management</t>
        </is>
      </c>
      <c r="C327" s="15" t="inlineStr">
        <is>
          <t>Closing</t>
        </is>
      </c>
      <c r="D327" s="16">
        <f>HYPERLINK('Link Config'!$B$2&amp;"plugins/vc/tasks/verify-conditions-precedent.md","Verify Conditions Precedent")</f>
        <v/>
      </c>
      <c r="E327" s="15" t="inlineStr">
        <is>
          <t>Verify Conditions Precedent for one venture-capital opportunity with evidence capture, human review gates, and next-action recommendations.</t>
        </is>
      </c>
      <c r="F327" s="16">
        <f>HYPERLINK('Link Config'!$B$2&amp;"plugins/vc/agents/vc-legal-compliance-desk.md","Legal &amp; Compliance Desk")</f>
        <v/>
      </c>
      <c r="G327" s="16">
        <f>HYPERLINK('Link Config'!$B$2&amp;"plugins/vc/skills/citation-enforcement/SKILL.md","Citation Enforcement")</f>
        <v/>
      </c>
      <c r="H327" s="16">
        <f>HYPERLINK('Link Config'!$B$2&amp;"plugins/vc/alludium/documents/deal-room/conditions-precedent-tracker-template.md","Conditions Precedent Tracker Template (output_template, to conditions_precedent_verification_artifact_id)")</f>
        <v/>
      </c>
      <c r="I327" s="15" t="inlineStr">
        <is>
          <t>alludium-platform
affinity-mcp-server
exa-mcp-hosted
brave-search-mcp
dealroom-mcp
google_drive</t>
        </is>
      </c>
      <c r="J327" s="15" t="inlineStr">
        <is>
          <t>verify-conditions-precedent</t>
        </is>
      </c>
      <c r="K327" s="15" t="inlineStr">
        <is>
          <t>project_instance</t>
        </is>
      </c>
    </row>
    <row r="328" ht="90" customHeight="1" s="12">
      <c r="A328" s="15" t="inlineStr"/>
      <c r="B328" s="15" t="inlineStr">
        <is>
          <t>Investment Management</t>
        </is>
      </c>
      <c r="C328" s="15" t="inlineStr">
        <is>
          <t>Closing</t>
        </is>
      </c>
      <c r="D328" s="16">
        <f>HYPERLINK('Link Config'!$B$2&amp;"plugins/vc/tasks/verify-conditions-precedent.md","Verify Conditions Precedent")</f>
        <v/>
      </c>
      <c r="E328" s="15" t="inlineStr">
        <is>
          <t>Verify Conditions Precedent for one venture-capital opportunity with evidence capture, human review gates, and next-action recommendations.</t>
        </is>
      </c>
      <c r="F328" s="16">
        <f>HYPERLINK('Link Config'!$B$2&amp;"plugins/vc/agents/vc-legal-compliance-desk.md","Legal &amp; Compliance Desk")</f>
        <v/>
      </c>
      <c r="G328" s="16">
        <f>HYPERLINK('Link Config'!$B$2&amp;"plugins/vc/skills/closing-coordination-and-cp-tracking/SKILL.md","Closing Coordination &amp; CP Tracking")</f>
        <v/>
      </c>
      <c r="H328" s="16">
        <f>HYPERLINK('Link Config'!$B$2&amp;"plugins/vc/alludium/documents/deal-room/legal-diligence-guide.md","Legal Diligence Guide (methodology)")</f>
        <v/>
      </c>
      <c r="I328" s="15" t="inlineStr">
        <is>
          <t>alludium-platform
affinity-mcp-server
exa-mcp-hosted
brave-search-mcp
dealroom-mcp
google_drive</t>
        </is>
      </c>
      <c r="J328" s="15" t="inlineStr">
        <is>
          <t>verify-conditions-precedent</t>
        </is>
      </c>
      <c r="K328" s="15" t="inlineStr">
        <is>
          <t>project_instance</t>
        </is>
      </c>
    </row>
    <row r="329" ht="90" customHeight="1" s="12">
      <c r="A329" s="15" t="inlineStr"/>
      <c r="B329" s="15" t="inlineStr">
        <is>
          <t>Investment Management</t>
        </is>
      </c>
      <c r="C329" s="15" t="inlineStr">
        <is>
          <t>Closing</t>
        </is>
      </c>
      <c r="D329" s="16">
        <f>HYPERLINK('Link Config'!$B$2&amp;"plugins/vc/tasks/verify-conditions-precedent.md","Verify Conditions Precedent")</f>
        <v/>
      </c>
      <c r="E329" s="15" t="inlineStr">
        <is>
          <t>Verify Conditions Precedent for one venture-capital opportunity with evidence capture, human review gates, and next-action recommendations.</t>
        </is>
      </c>
      <c r="F329" s="16">
        <f>HYPERLINK('Link Config'!$B$2&amp;"plugins/vc/agents/vc-legal-compliance-desk.md","Legal &amp; Compliance Desk")</f>
        <v/>
      </c>
      <c r="G329" s="15" t="inlineStr"/>
      <c r="H329" s="16">
        <f>HYPERLINK('Link Config'!$B$2&amp;"plugins/vc/alludium/documents/shared/template-use-guidance.md","Template Use Guidance (operating_guidance)")</f>
        <v/>
      </c>
      <c r="I329" s="15" t="inlineStr">
        <is>
          <t>alludium-platform
affinity-mcp-server
exa-mcp-hosted
brave-search-mcp
dealroom-mcp
google_drive</t>
        </is>
      </c>
      <c r="J329" s="15" t="inlineStr">
        <is>
          <t>verify-conditions-precedent</t>
        </is>
      </c>
      <c r="K329" s="15" t="inlineStr">
        <is>
          <t>project_instance</t>
        </is>
      </c>
    </row>
    <row r="330" ht="90" customHeight="1" s="12">
      <c r="A330" s="15" t="inlineStr"/>
      <c r="B330" s="15" t="inlineStr">
        <is>
          <t>Investment Management</t>
        </is>
      </c>
      <c r="C330" s="15" t="inlineStr">
        <is>
          <t>Closing</t>
        </is>
      </c>
      <c r="D330" s="16">
        <f>HYPERLINK('Link Config'!$B$2&amp;"plugins/vc/tasks/coordinate-capital-call-and-completion.md","Coordinate Capital Call And Completion")</f>
        <v/>
      </c>
      <c r="E330" s="15" t="inlineStr">
        <is>
          <t>Track final closing administration, capital call status, funds transfer readiness, share-certificate receipt, and portfolio handoff triggers without initiating banking or legal completion actions.</t>
        </is>
      </c>
      <c r="F330" s="16">
        <f>HYPERLINK('Link Config'!$B$2&amp;"plugins/vc/agents/vc-legal-compliance-desk.md","Legal &amp; Compliance Desk")</f>
        <v/>
      </c>
      <c r="G330" s="16">
        <f>HYPERLINK('Link Config'!$B$2&amp;"plugins/vc/skills/closing-coordination-and-cp-tracking/SKILL.md","Closing Coordination &amp; CP Tracking")</f>
        <v/>
      </c>
      <c r="H330" s="16">
        <f>HYPERLINK('Link Config'!$B$2&amp;"plugins/vc/alludium/documents/deal-room/completion-tracker-template.md","Completion Tracker Template (output_template, to completion_tracker_artifact_id)")</f>
        <v/>
      </c>
      <c r="I330" s="15" t="inlineStr">
        <is>
          <t>alludium-platform
affinity-mcp-server
exa-mcp-hosted
brave-search-mcp
dealroom-mcp
google_drive</t>
        </is>
      </c>
      <c r="J330" s="15" t="inlineStr">
        <is>
          <t>coordinate-capital-call-and-completion</t>
        </is>
      </c>
      <c r="K330" s="15" t="inlineStr">
        <is>
          <t>project_instance</t>
        </is>
      </c>
    </row>
    <row r="331" ht="90" customHeight="1" s="12">
      <c r="A331" s="15" t="inlineStr"/>
      <c r="B331" s="15" t="inlineStr">
        <is>
          <t>Investment Management</t>
        </is>
      </c>
      <c r="C331" s="15" t="inlineStr">
        <is>
          <t>Closing</t>
        </is>
      </c>
      <c r="D331" s="16">
        <f>HYPERLINK('Link Config'!$B$2&amp;"plugins/vc/tasks/coordinate-capital-call-and-completion.md","Coordinate Capital Call And Completion")</f>
        <v/>
      </c>
      <c r="E331" s="15" t="inlineStr">
        <is>
          <t>Track final closing administration, capital call status, funds transfer readiness, share-certificate receipt, and portfolio handoff triggers without initiating banking or legal completion actions.</t>
        </is>
      </c>
      <c r="F331" s="16">
        <f>HYPERLINK('Link Config'!$B$2&amp;"plugins/vc/agents/vc-legal-compliance-desk.md","Legal &amp; Compliance Desk")</f>
        <v/>
      </c>
      <c r="G331" s="16">
        <f>HYPERLINK('Link Config'!$B$2&amp;"plugins/vc/skills/vc-task-and-next-step-generation/SKILL.md","VC Task &amp; Next-Step Generation")</f>
        <v/>
      </c>
      <c r="H331" s="16">
        <f>HYPERLINK('Link Config'!$B$2&amp;"plugins/vc/alludium/documents/shared/evidence-citation-style-guide.md","Evidence And Citation Style Guide (style_guide)")</f>
        <v/>
      </c>
      <c r="I331" s="15" t="inlineStr">
        <is>
          <t>alludium-platform
affinity-mcp-server
exa-mcp-hosted
brave-search-mcp
dealroom-mcp
google_drive</t>
        </is>
      </c>
      <c r="J331" s="15" t="inlineStr">
        <is>
          <t>coordinate-capital-call-and-completion</t>
        </is>
      </c>
      <c r="K331" s="15" t="inlineStr">
        <is>
          <t>project_instance</t>
        </is>
      </c>
    </row>
    <row r="332" ht="90" customHeight="1" s="12">
      <c r="A332" s="15" t="inlineStr"/>
      <c r="B332" s="15" t="inlineStr">
        <is>
          <t>Investment Management</t>
        </is>
      </c>
      <c r="C332" s="15" t="inlineStr">
        <is>
          <t>Closing</t>
        </is>
      </c>
      <c r="D332" s="16">
        <f>HYPERLINK('Link Config'!$B$2&amp;"plugins/vc/tasks/coordinate-capital-call-and-completion.md","Coordinate Capital Call And Completion")</f>
        <v/>
      </c>
      <c r="E332" s="15" t="inlineStr">
        <is>
          <t>Track final closing administration, capital call status, funds transfer readiness, share-certificate receipt, and portfolio handoff triggers without initiating banking or legal completion actions.</t>
        </is>
      </c>
      <c r="F332" s="16">
        <f>HYPERLINK('Link Config'!$B$2&amp;"plugins/vc/agents/vc-legal-compliance-desk.md","Legal &amp; Compliance Desk")</f>
        <v/>
      </c>
      <c r="G332" s="16">
        <f>HYPERLINK('Link Config'!$B$2&amp;"plugins/vc/skills/citation-enforcement/SKILL.md","Citation Enforcement")</f>
        <v/>
      </c>
      <c r="H332" s="16">
        <f>HYPERLINK('Link Config'!$B$2&amp;"plugins/vc/alludium/documents/shared/template-use-guidance.md","Template Use Guidance (operating_guidance)")</f>
        <v/>
      </c>
      <c r="I332" s="15" t="inlineStr">
        <is>
          <t>alludium-platform
affinity-mcp-server
exa-mcp-hosted
brave-search-mcp
dealroom-mcp
google_drive</t>
        </is>
      </c>
      <c r="J332" s="15" t="inlineStr">
        <is>
          <t>coordinate-capital-call-and-completion</t>
        </is>
      </c>
      <c r="K332" s="15" t="inlineStr">
        <is>
          <t>project_instance</t>
        </is>
      </c>
    </row>
    <row r="333" ht="90" customHeight="1" s="12">
      <c r="A333" s="15" t="inlineStr"/>
      <c r="B333" s="15" t="inlineStr">
        <is>
          <t>Investment Management</t>
        </is>
      </c>
      <c r="C333" s="15" t="inlineStr">
        <is>
          <t>Closing</t>
        </is>
      </c>
      <c r="D333" s="16">
        <f>HYPERLINK('Link Config'!$B$2&amp;"plugins/vc/tasks/prepare-portfolio-onboarding.md","Prepare Portfolio Onboarding")</f>
        <v/>
      </c>
      <c r="E333" s="15" t="inlineStr">
        <is>
          <t>Prepare Portfolio Onboarding for one venture-capital opportunity with evidence capture, human review gates, and next-action recommendations.</t>
        </is>
      </c>
      <c r="F333" s="16">
        <f>HYPERLINK('Link Config'!$B$2&amp;"plugins/vc/agents/vc-legal-compliance-desk.md","Legal &amp; Compliance Desk")</f>
        <v/>
      </c>
      <c r="G333" s="16">
        <f>HYPERLINK('Link Config'!$B$2&amp;"plugins/vc/skills/citation-enforcement/SKILL.md","Citation Enforcement")</f>
        <v/>
      </c>
      <c r="H333" s="16">
        <f>HYPERLINK('Link Config'!$B$2&amp;"plugins/vc/alludium/documents/deal-room/portfolio-onboarding-plan-template.md","Portfolio Onboarding Plan Template (output_template, to portfolio_onboarding_plan_artifact_id)")</f>
        <v/>
      </c>
      <c r="I333" s="15" t="inlineStr">
        <is>
          <t>alludium-platform
affinity-mcp-server
exa-mcp-hosted
brave-search-mcp
dealroom-mcp
google_drive</t>
        </is>
      </c>
      <c r="J333" s="15" t="inlineStr">
        <is>
          <t>prepare-portfolio-onboarding</t>
        </is>
      </c>
      <c r="K333" s="15" t="inlineStr">
        <is>
          <t>project_instance</t>
        </is>
      </c>
    </row>
    <row r="334" ht="90" customHeight="1" s="12">
      <c r="A334" s="15" t="inlineStr"/>
      <c r="B334" s="15" t="inlineStr">
        <is>
          <t>Investment Management</t>
        </is>
      </c>
      <c r="C334" s="15" t="inlineStr">
        <is>
          <t>Closing</t>
        </is>
      </c>
      <c r="D334" s="16">
        <f>HYPERLINK('Link Config'!$B$2&amp;"plugins/vc/tasks/prepare-portfolio-onboarding.md","Prepare Portfolio Onboarding")</f>
        <v/>
      </c>
      <c r="E334" s="15" t="inlineStr">
        <is>
          <t>Prepare Portfolio Onboarding for one venture-capital opportunity with evidence capture, human review gates, and next-action recommendations.</t>
        </is>
      </c>
      <c r="F334" s="16">
        <f>HYPERLINK('Link Config'!$B$2&amp;"plugins/vc/agents/vc-legal-compliance-desk.md","Legal &amp; Compliance Desk")</f>
        <v/>
      </c>
      <c r="G334" s="16">
        <f>HYPERLINK('Link Config'!$B$2&amp;"plugins/vc/skills/portfolio-onboarding-and-100-day-plan/SKILL.md","Portfolio Onboarding &amp; 100-Day Plan")</f>
        <v/>
      </c>
      <c r="H334" s="16">
        <f>HYPERLINK('Link Config'!$B$2&amp;"plugins/vc/alludium/documents/shared/template-use-guidance.md","Template Use Guidance (operating_guidance)")</f>
        <v/>
      </c>
      <c r="I334" s="15" t="inlineStr">
        <is>
          <t>alludium-platform
affinity-mcp-server
exa-mcp-hosted
brave-search-mcp
dealroom-mcp
google_drive</t>
        </is>
      </c>
      <c r="J334" s="15" t="inlineStr">
        <is>
          <t>prepare-portfolio-onboarding</t>
        </is>
      </c>
      <c r="K334" s="15" t="inlineStr">
        <is>
          <t>project_instance</t>
        </is>
      </c>
    </row>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K334"/>
  <pageMargins left="0.7" right="0.7" top="0.75" bottom="0.75"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67"/>
  <sheetViews>
    <sheetView workbookViewId="0">
      <pane ySplit="2" topLeftCell="A3" activePane="bottomLeft" state="frozen"/>
      <selection pane="bottomLeft" activeCell="A1" sqref="A1"/>
    </sheetView>
  </sheetViews>
  <sheetFormatPr baseColWidth="8" defaultColWidth="12.63" defaultRowHeight="15" customHeight="1"/>
  <cols>
    <col width="18" customWidth="1" style="12" min="1" max="1"/>
    <col width="42" customWidth="1" style="12" min="2" max="2"/>
    <col width="16" customWidth="1" style="12" min="3" max="3"/>
    <col width="16" customWidth="1" style="12" min="4" max="4"/>
    <col width="18" customWidth="1" style="12" min="5" max="5"/>
    <col width="22" customWidth="1" style="12" min="6" max="6"/>
    <col width="70" customWidth="1" style="12" min="7" max="7"/>
    <col width="95" customWidth="1" style="12" min="8" max="8"/>
    <col width="8.880000000000001" customWidth="1" style="12" min="9" max="26"/>
  </cols>
  <sheetData>
    <row r="1" ht="18" customHeight="1" s="12">
      <c r="A1" s="13" t="inlineStr">
        <is>
          <t>Assigned</t>
        </is>
      </c>
      <c r="B1" s="13" t="inlineStr">
        <is>
          <t>Skill</t>
        </is>
      </c>
      <c r="C1" s="13" t="inlineStr">
        <is>
          <t>Agent Usage Count</t>
        </is>
      </c>
      <c r="D1" s="13" t="inlineStr">
        <is>
          <t>All Task Usage Count</t>
        </is>
      </c>
      <c r="E1" s="13" t="inlineStr">
        <is>
          <t>Project Task Usage Count</t>
        </is>
      </c>
      <c r="F1" s="13" t="inlineStr">
        <is>
          <t>Setup / Management Task Usage Count</t>
        </is>
      </c>
      <c r="G1" s="13" t="inlineStr">
        <is>
          <t>Agents</t>
        </is>
      </c>
      <c r="H1" s="13" t="inlineStr">
        <is>
          <t>Project Tasks</t>
        </is>
      </c>
    </row>
    <row r="2" ht="18" customHeight="1" s="12">
      <c r="A2" s="14" t="inlineStr">
        <is>
          <t>Owner</t>
        </is>
      </c>
      <c r="B2" s="14" t="inlineStr">
        <is>
          <t>Linked skill</t>
        </is>
      </c>
      <c r="C2" s="14" t="inlineStr">
        <is>
          <t>Agents using skill</t>
        </is>
      </c>
      <c r="D2" s="14" t="inlineStr">
        <is>
          <t>All task rows</t>
        </is>
      </c>
      <c r="E2" s="14" t="inlineStr">
        <is>
          <t>Project-instance task rows</t>
        </is>
      </c>
      <c r="F2" s="14" t="inlineStr">
        <is>
          <t>Setup/general/management task rows</t>
        </is>
      </c>
      <c r="G2" s="14" t="inlineStr">
        <is>
          <t>Agents</t>
        </is>
      </c>
      <c r="H2" s="14" t="inlineStr">
        <is>
          <t>Tasks</t>
        </is>
      </c>
    </row>
    <row r="3" ht="150" customHeight="1" s="12">
      <c r="A3" s="15" t="inlineStr"/>
      <c r="B3" s="16">
        <f>HYPERLINK('Link Config'!$B$2&amp;"plugins/vc/skills/citation-enforcement/SKILL.md","Citation Enforcement")</f>
        <v/>
      </c>
      <c r="C3" s="15" t="n">
        <v>12</v>
      </c>
      <c r="D3" s="15" t="n">
        <v>90</v>
      </c>
      <c r="E3" s="15" t="n">
        <v>54</v>
      </c>
      <c r="F3" s="15" t="n">
        <v>36</v>
      </c>
      <c r="G3" s="15" t="inlineStr">
        <is>
          <t>Deal Pipeline Setup Guide
Dealflow Concierge
Diligence Analyst
Evaluation Analyst
First Look Analyst
IC Prep Producer
Integration Operator
Legal &amp; Compliance Desk
Meeting Operator
Origination Scout
Pipeline Autopilot
Sourcing Operator</t>
        </is>
      </c>
      <c r="H3" s="15" t="inlineStr">
        <is>
          <t>Analyze Deal Terms
Audit LinkedIn Query Spend
Capture Investment Management Handoff
Capture Opportunity Intake
Check Affinity Relationship Context
Configure Companies House Public Register Preview
Configure Origination Pipeline
Coordinate Capital Call And Completion
Create IC Memo
Discover Companies House Candidates
Discover GitHub Builder Signals
Discover LinkedIn Founder Candidates
Discover Reddit Builder Signals
Discover X Founder Signals
Draft Affinity Write-Back Proposals
Draft Google Drive File Proposals
Draft Notion Update Proposals
Draft Slack Handoff Notifications
Enrich Sourcing Candidate
Explore Affinity Lists and Stages
Explore Apify Origination Sources
Explore Companies House Public Register Scope
Explore Google Drive Sources
Explore Harmonic Source Scopes
Explore Notion Pages and Databases
Explore Slack Channels for VC Context
Generate Diligence Questions
Generate Sourcing Digest
Import Affinity Deal Pipeline Seed
Ingest Manual Sourcing Tip
Manage Closing Checklist
Prepare Deal Flow Agenda
Prepare IC Agenda
Prepare Initial LinkedIn Reachout
Prepare Lead Gen Packet
Prepare Meeting
Prepare Outreach Draft Queue
Prepare Partner Review Pack
Prepare Portfolio Onboarding
Prepare Prospect Summary
Prepare Second Reachout Email
Prepare Team Review Pack
Preview Affinity Pipeline Import
Preview Apify Origination Results
Preview Companies House Public Register Results
Preview Google Drive Context
Preview Harmonic Search Results
Preview Notion Context
Preview Slack Deal Context
Promote Candidate to Deal Pipeline
Record IC Decision
Record LinkedIn Connection Attempt
Request Founder Materials
Review IC Memo
Review Investment Documents
Review Opportunity Status
Review Outreach Outcome
Review Portfolio Overlap
Review Reddit Candidate Inbox
Review Source Errors and Spend
Review Term Sheet
Review Unicorn Signature
Run Commercial DD
Run Commercial Evaluation
Run Deal Fit Analysis
Run Financial DD
Run Financial Evaluation
Run Founder Evaluation
Run Investment Fit Screen
Run Legal Diligence
Run Opportunity Evaluation
Run Team Evaluation
Run Technical DD
Run Technical Evaluation
Run VC Sourcing Pipeline
Score Sourcing Candidate
Screen Active Sourcing Candidate
Screen Founder-Connected Candidate
Screen Identified Candidate
Set Up Affinity for Deal Pipelines
Set Up Apify for Origination
Set Up Google Drive for Deal Pipelines
Set Up Harmonic for Deal Pipelines
Set Up Notion for Deal Pipelines
Set Up Slack for Deal Pipelines
Source Thesis Targets
Summarize Meeting Records
Sync Sourcing Candidate
Track Term Sheet Negotiation
Verify Conditions Precedent</t>
        </is>
      </c>
    </row>
    <row r="4" ht="135" customHeight="1" s="12">
      <c r="A4" s="15" t="inlineStr"/>
      <c r="B4" s="16">
        <f>HYPERLINK('Link Config'!$B$2&amp;"plugins/vc/skills/vc-source-registry-and-state-management/SKILL.md","VC Source Registry &amp; State Management")</f>
        <v/>
      </c>
      <c r="C4" s="15" t="n">
        <v>1</v>
      </c>
      <c r="D4" s="15" t="n">
        <v>9</v>
      </c>
      <c r="E4" s="15" t="n">
        <v>8</v>
      </c>
      <c r="F4" s="15" t="n">
        <v>1</v>
      </c>
      <c r="G4" s="15" t="inlineStr">
        <is>
          <t>Sourcing Operator</t>
        </is>
      </c>
      <c r="H4" s="15" t="inlineStr">
        <is>
          <t>Audit LinkedIn Query Spend
Discover Companies House Candidates
Discover GitHub Builder Signals
Discover LinkedIn Founder Candidates
Discover Reddit Builder Signals
Discover X Founder Signals
Review Source Errors and Spend
Run VC Sourcing Pipeline
Sync Sourcing Candidate</t>
        </is>
      </c>
    </row>
    <row r="5" ht="120" customHeight="1" s="12">
      <c r="A5" s="15" t="inlineStr"/>
      <c r="B5" s="16">
        <f>HYPERLINK('Link Config'!$B$2&amp;"plugins/vc/skills/red-flags-scanner/SKILL.md","Red Flags Scanner")</f>
        <v/>
      </c>
      <c r="C5" s="15" t="n">
        <v>5</v>
      </c>
      <c r="D5" s="15" t="n">
        <v>8</v>
      </c>
      <c r="E5" s="15" t="n">
        <v>8</v>
      </c>
      <c r="F5" s="15" t="n">
        <v>0</v>
      </c>
      <c r="G5" s="15" t="inlineStr">
        <is>
          <t>Dealflow Concierge
Diligence Analyst
Evaluation Analyst
First Look Analyst
Legal &amp; Compliance Desk</t>
        </is>
      </c>
      <c r="H5" s="15" t="inlineStr">
        <is>
          <t>Review Term Sheet
Run Founder Evaluation
Run Investment Fit Screen
Run Legal Diligence
Run Opportunity Evaluation
Run Team Evaluation
Run Technical DD
Run Technical Evaluation</t>
        </is>
      </c>
    </row>
    <row r="6" ht="105" customHeight="1" s="12">
      <c r="A6" s="15" t="inlineStr"/>
      <c r="B6" s="16">
        <f>HYPERLINK('Link Config'!$B$2&amp;"plugins/vc/skills/vc-task-and-next-step-generation/SKILL.md","VC Task &amp; Next-Step Generation")</f>
        <v/>
      </c>
      <c r="C6" s="15" t="n">
        <v>4</v>
      </c>
      <c r="D6" s="15" t="n">
        <v>7</v>
      </c>
      <c r="E6" s="15" t="n">
        <v>3</v>
      </c>
      <c r="F6" s="15" t="n">
        <v>4</v>
      </c>
      <c r="G6" s="15" t="inlineStr">
        <is>
          <t>IC Prep Producer
Legal &amp; Compliance Desk
Meeting Operator
Pipeline Autopilot</t>
        </is>
      </c>
      <c r="H6" s="15" t="inlineStr">
        <is>
          <t>Capture Investment Management Handoff
Coordinate Capital Call And Completion
Manage Closing Checklist
Prepare Deal Flow Agenda
Record IC Decision
Review Opportunity Status
Summarize Meeting Records</t>
        </is>
      </c>
    </row>
    <row r="7" ht="90" customHeight="1" s="12">
      <c r="A7" s="15" t="inlineStr"/>
      <c r="B7" s="16">
        <f>HYPERLINK('Link Config'!$B$2&amp;"plugins/vc/skills/vc-outreach-draft-queue/SKILL.md","VC Outreach Draft Queue")</f>
        <v/>
      </c>
      <c r="C7" s="15" t="n">
        <v>1</v>
      </c>
      <c r="D7" s="15" t="n">
        <v>6</v>
      </c>
      <c r="E7" s="15" t="n">
        <v>6</v>
      </c>
      <c r="F7" s="15" t="n">
        <v>0</v>
      </c>
      <c r="G7" s="15" t="inlineStr">
        <is>
          <t>Sourcing Operator</t>
        </is>
      </c>
      <c r="H7" s="15" t="inlineStr">
        <is>
          <t>Prepare Initial LinkedIn Reachout
Prepare Outreach Draft Queue
Prepare Second Reachout Email
Record LinkedIn Connection Attempt
Review Outreach Outcome
Screen Founder-Connected Candidate</t>
        </is>
      </c>
    </row>
    <row r="8" ht="90" customHeight="1" s="12">
      <c r="A8" s="15" t="inlineStr"/>
      <c r="B8" s="16">
        <f>HYPERLINK('Link Config'!$B$2&amp;"plugins/vc/skills/vc-sourcing-dedupe-and-novelty-check/SKILL.md","VC Sourcing Dedupe &amp; Novelty Check")</f>
        <v/>
      </c>
      <c r="C8" s="15" t="n">
        <v>1</v>
      </c>
      <c r="D8" s="15" t="n">
        <v>6</v>
      </c>
      <c r="E8" s="15" t="n">
        <v>6</v>
      </c>
      <c r="F8" s="15" t="n">
        <v>0</v>
      </c>
      <c r="G8" s="15" t="inlineStr">
        <is>
          <t>Sourcing Operator</t>
        </is>
      </c>
      <c r="H8" s="15" t="inlineStr">
        <is>
          <t>Enrich Sourcing Candidate
Ingest Manual Sourcing Tip
Review Reddit Candidate Inbox
Score Sourcing Candidate
Screen Identified Candidate
Sync Sourcing Candidate</t>
        </is>
      </c>
    </row>
    <row r="9" ht="90" customHeight="1" s="12">
      <c r="A9" s="15" t="inlineStr"/>
      <c r="B9" s="16">
        <f>HYPERLINK('Link Config'!$B$2&amp;"plugins/vc/skills/vc-sourcing-verdict-and-screening/SKILL.md","VC Sourcing Verdict &amp; Screening")</f>
        <v/>
      </c>
      <c r="C9" s="15" t="n">
        <v>1</v>
      </c>
      <c r="D9" s="15" t="n">
        <v>6</v>
      </c>
      <c r="E9" s="15" t="n">
        <v>6</v>
      </c>
      <c r="F9" s="15" t="n">
        <v>0</v>
      </c>
      <c r="G9" s="15" t="inlineStr">
        <is>
          <t>Sourcing Operator</t>
        </is>
      </c>
      <c r="H9" s="15" t="inlineStr">
        <is>
          <t>Review Unicorn Signature
Run Deal Fit Analysis
Score Sourcing Candidate
Screen Active Sourcing Candidate
Screen Founder-Connected Candidate
Screen Identified Candidate</t>
        </is>
      </c>
    </row>
    <row r="10" ht="75" customHeight="1" s="12">
      <c r="A10" s="15" t="inlineStr"/>
      <c r="B10" s="16">
        <f>HYPERLINK('Link Config'!$B$2&amp;"plugins/vc/skills/closing-coordination-and-cp-tracking/SKILL.md","Closing Coordination &amp; CP Tracking")</f>
        <v/>
      </c>
      <c r="C10" s="15" t="n">
        <v>1</v>
      </c>
      <c r="D10" s="15" t="n">
        <v>5</v>
      </c>
      <c r="E10" s="15" t="n">
        <v>5</v>
      </c>
      <c r="F10" s="15" t="n">
        <v>0</v>
      </c>
      <c r="G10" s="15" t="inlineStr">
        <is>
          <t>Legal &amp; Compliance Desk</t>
        </is>
      </c>
      <c r="H10" s="15" t="inlineStr">
        <is>
          <t>Coordinate Capital Call And Completion
Manage Closing Checklist
Review Investment Documents
Review Term Sheet
Verify Conditions Precedent</t>
        </is>
      </c>
    </row>
    <row r="11" ht="75" customHeight="1" s="12">
      <c r="A11" s="15" t="inlineStr"/>
      <c r="B11" s="16">
        <f>HYPERLINK('Link Config'!$B$2&amp;"plugins/vc/skills/founder-outreach-and-intro-paths/SKILL.md","Founder Outreach &amp; Intro Paths")</f>
        <v/>
      </c>
      <c r="C11" s="15" t="n">
        <v>2</v>
      </c>
      <c r="D11" s="15" t="n">
        <v>5</v>
      </c>
      <c r="E11" s="15" t="n">
        <v>5</v>
      </c>
      <c r="F11" s="15" t="n">
        <v>0</v>
      </c>
      <c r="G11" s="15" t="inlineStr">
        <is>
          <t>Origination Scout
Sourcing Operator</t>
        </is>
      </c>
      <c r="H11" s="15" t="inlineStr">
        <is>
          <t>Prepare Initial LinkedIn Reachout
Prepare Outreach Draft Queue
Prepare Second Reachout Email
Record LinkedIn Connection Attempt
Source Thesis Targets</t>
        </is>
      </c>
    </row>
    <row r="12" ht="120" customHeight="1" s="12">
      <c r="A12" s="15" t="inlineStr"/>
      <c r="B12" s="16">
        <f>HYPERLINK('Link Config'!$B$2&amp;"plugins/vc/skills/company-research-and-enrichment/SKILL.md","Company Research &amp; Enrichment")</f>
        <v/>
      </c>
      <c r="C12" s="15" t="n">
        <v>8</v>
      </c>
      <c r="D12" s="15" t="n">
        <v>4</v>
      </c>
      <c r="E12" s="15" t="n">
        <v>1</v>
      </c>
      <c r="F12" s="15" t="n">
        <v>3</v>
      </c>
      <c r="G12" s="15" t="inlineStr">
        <is>
          <t>Dealflow Concierge
Diligence Analyst
Evaluation Analyst
First Look Analyst
Meeting Operator
Origination Scout
Pipeline Autopilot
Sourcing Operator</t>
        </is>
      </c>
      <c r="H12" s="15" t="inlineStr">
        <is>
          <t>Capture Opportunity Intake
Prepare Lead Gen Packet
Prepare Meeting
Source Thesis Targets</t>
        </is>
      </c>
    </row>
    <row r="13" ht="60" customHeight="1" s="12">
      <c r="A13" s="15" t="inlineStr"/>
      <c r="B13" s="16">
        <f>HYPERLINK('Link Config'!$B$2&amp;"plugins/vc/skills/ic-memo-assembly/SKILL.md","IC Memo Assembly")</f>
        <v/>
      </c>
      <c r="C13" s="15" t="n">
        <v>2</v>
      </c>
      <c r="D13" s="15" t="n">
        <v>4</v>
      </c>
      <c r="E13" s="15" t="n">
        <v>4</v>
      </c>
      <c r="F13" s="15" t="n">
        <v>0</v>
      </c>
      <c r="G13" s="15" t="inlineStr">
        <is>
          <t>Diligence Analyst
IC Prep Producer</t>
        </is>
      </c>
      <c r="H13" s="15" t="inlineStr">
        <is>
          <t>Create IC Memo
Prepare Partner Review Pack
Prepare Team Review Pack
Review IC Memo</t>
        </is>
      </c>
    </row>
    <row r="14" ht="60" customHeight="1" s="12">
      <c r="A14" s="15" t="inlineStr"/>
      <c r="B14" s="16">
        <f>HYPERLINK('Link Config'!$B$2&amp;"plugins/vc/skills/ic-risk-checklist-and-decision-log/SKILL.md","IC Risk Checklist &amp; Decision Log")</f>
        <v/>
      </c>
      <c r="C14" s="15" t="n">
        <v>1</v>
      </c>
      <c r="D14" s="15" t="n">
        <v>4</v>
      </c>
      <c r="E14" s="15" t="n">
        <v>4</v>
      </c>
      <c r="F14" s="15" t="n">
        <v>0</v>
      </c>
      <c r="G14" s="15" t="inlineStr">
        <is>
          <t>IC Prep Producer</t>
        </is>
      </c>
      <c r="H14" s="15" t="inlineStr">
        <is>
          <t>Create IC Memo
Prepare IC Agenda
Record IC Decision
Review IC Memo</t>
        </is>
      </c>
    </row>
    <row r="15" ht="75" customHeight="1" s="12">
      <c r="A15" s="15" t="inlineStr"/>
      <c r="B15" s="16">
        <f>HYPERLINK('Link Config'!$B$2&amp;"plugins/vc/skills/investment-screening-framework/SKILL.md","Investment Screening Framework")</f>
        <v/>
      </c>
      <c r="C15" s="15" t="n">
        <v>5</v>
      </c>
      <c r="D15" s="15" t="n">
        <v>4</v>
      </c>
      <c r="E15" s="15" t="n">
        <v>4</v>
      </c>
      <c r="F15" s="15" t="n">
        <v>0</v>
      </c>
      <c r="G15" s="15" t="inlineStr">
        <is>
          <t>Dealflow Concierge
First Look Analyst
Meeting Operator
Origination Scout
Sourcing Operator</t>
        </is>
      </c>
      <c r="H15" s="15" t="inlineStr">
        <is>
          <t>Run Deal Fit Analysis
Run Investment Fit Screen
Screen Active Sourcing Candidate
Screen Founder-Connected Candidate</t>
        </is>
      </c>
    </row>
    <row r="16" ht="45" customHeight="1" s="12">
      <c r="A16" s="15" t="inlineStr"/>
      <c r="B16" s="16">
        <f>HYPERLINK('Link Config'!$B$2&amp;"plugins/vc/skills/deal-room-setup-and-source-ingestion/SKILL.md","Deal Pipeline Setup &amp; Source Ingestion")</f>
        <v/>
      </c>
      <c r="C16" s="15" t="n">
        <v>3</v>
      </c>
      <c r="D16" s="15" t="n">
        <v>3</v>
      </c>
      <c r="E16" s="15" t="n">
        <v>1</v>
      </c>
      <c r="F16" s="15" t="n">
        <v>2</v>
      </c>
      <c r="G16" s="15" t="inlineStr">
        <is>
          <t>Deal Pipeline Setup Guide
Dealflow Concierge
Sourcing Operator</t>
        </is>
      </c>
      <c r="H16" s="15" t="inlineStr">
        <is>
          <t>Capture Opportunity Intake
Import Affinity Deal Pipeline Seed
Promote Candidate to Deal Pipeline</t>
        </is>
      </c>
    </row>
    <row r="17" ht="45" customHeight="1" s="12">
      <c r="A17" s="15" t="inlineStr"/>
      <c r="B17" s="16">
        <f>HYPERLINK('Link Config'!$B$2&amp;"plugins/vc/skills/meeting-prep-and-summary/SKILL.md","Meeting Prep &amp; Summary")</f>
        <v/>
      </c>
      <c r="C17" s="15" t="n">
        <v>2</v>
      </c>
      <c r="D17" s="15" t="n">
        <v>3</v>
      </c>
      <c r="E17" s="15" t="n">
        <v>1</v>
      </c>
      <c r="F17" s="15" t="n">
        <v>2</v>
      </c>
      <c r="G17" s="15" t="inlineStr">
        <is>
          <t>IC Prep Producer
Meeting Operator</t>
        </is>
      </c>
      <c r="H17" s="15" t="inlineStr">
        <is>
          <t>Prepare IC Agenda
Prepare Meeting
Summarize Meeting Records</t>
        </is>
      </c>
    </row>
    <row r="18" ht="45" customHeight="1" s="12">
      <c r="A18" s="15" t="inlineStr"/>
      <c r="B18" s="16">
        <f>HYPERLINK('Link Config'!$B$2&amp;"plugins/vc/skills/vc-affinity-sync-read/SKILL.md","VC Affinity Sync Read")</f>
        <v/>
      </c>
      <c r="C18" s="15" t="n">
        <v>2</v>
      </c>
      <c r="D18" s="15" t="n">
        <v>3</v>
      </c>
      <c r="E18" s="15" t="n">
        <v>0</v>
      </c>
      <c r="F18" s="15" t="n">
        <v>3</v>
      </c>
      <c r="G18" s="15" t="inlineStr">
        <is>
          <t>Deal Pipeline Setup Guide
Integration Operator</t>
        </is>
      </c>
      <c r="H18" s="15" t="inlineStr">
        <is>
          <t>Import Affinity Deal Pipeline Seed
Preview Affinity Pipeline Import
Set Up Affinity for Deal Pipelines</t>
        </is>
      </c>
    </row>
    <row r="19" ht="45" customHeight="1" s="12">
      <c r="A19" s="15" t="inlineStr"/>
      <c r="B19" s="16">
        <f>HYPERLINK('Link Config'!$B$2&amp;"plugins/vc/skills/vc-companies-house-sourcing/SKILL.md","VC Companies House Sourcing")</f>
        <v/>
      </c>
      <c r="C19" s="15" t="n">
        <v>2</v>
      </c>
      <c r="D19" s="15" t="n">
        <v>3</v>
      </c>
      <c r="E19" s="15" t="n">
        <v>1</v>
      </c>
      <c r="F19" s="15" t="n">
        <v>2</v>
      </c>
      <c r="G19" s="15" t="inlineStr">
        <is>
          <t>Integration Operator
Sourcing Operator</t>
        </is>
      </c>
      <c r="H19" s="15" t="inlineStr">
        <is>
          <t>Configure Companies House Public Register Preview
Discover Companies House Candidates
Explore Companies House Public Register Scope</t>
        </is>
      </c>
    </row>
    <row r="20" ht="45" customHeight="1" s="12">
      <c r="A20" s="15" t="inlineStr"/>
      <c r="B20" s="16">
        <f>HYPERLINK('Link Config'!$B$2&amp;"plugins/vc/skills/vc-notion-sync-write/SKILL.md","VC Notion Sync Write")</f>
        <v/>
      </c>
      <c r="C20" s="15" t="n">
        <v>2</v>
      </c>
      <c r="D20" s="15" t="n">
        <v>3</v>
      </c>
      <c r="E20" s="15" t="n">
        <v>1</v>
      </c>
      <c r="F20" s="15" t="n">
        <v>2</v>
      </c>
      <c r="G20" s="15" t="inlineStr">
        <is>
          <t>Integration Operator
Sourcing Operator</t>
        </is>
      </c>
      <c r="H20" s="15" t="inlineStr">
        <is>
          <t>Draft Notion Update Proposals
Set Up Notion for Deal Pipelines
Sync Sourcing Candidate</t>
        </is>
      </c>
    </row>
    <row r="21" ht="30" customHeight="1" s="12">
      <c r="A21" s="15" t="inlineStr"/>
      <c r="B21" s="16">
        <f>HYPERLINK('Link Config'!$B$2&amp;"plugins/vc/skills/deal-terms-analysis/SKILL.md","Deal Terms Analysis")</f>
        <v/>
      </c>
      <c r="C21" s="15" t="n">
        <v>1</v>
      </c>
      <c r="D21" s="15" t="n">
        <v>2</v>
      </c>
      <c r="E21" s="15" t="n">
        <v>2</v>
      </c>
      <c r="F21" s="15" t="n">
        <v>0</v>
      </c>
      <c r="G21" s="15" t="inlineStr">
        <is>
          <t>Legal &amp; Compliance Desk</t>
        </is>
      </c>
      <c r="H21" s="15" t="inlineStr">
        <is>
          <t>Analyze Deal Terms
Track Term Sheet Negotiation</t>
        </is>
      </c>
    </row>
    <row r="22" ht="30" customHeight="1" s="12">
      <c r="A22" s="15" t="inlineStr"/>
      <c r="B22" s="16">
        <f>HYPERLINK('Link Config'!$B$2&amp;"plugins/vc/skills/investment-diligence-question-framework/SKILL.md","Investment Diligence Question Framework")</f>
        <v/>
      </c>
      <c r="C22" s="15" t="n">
        <v>2</v>
      </c>
      <c r="D22" s="15" t="n">
        <v>2</v>
      </c>
      <c r="E22" s="15" t="n">
        <v>2</v>
      </c>
      <c r="F22" s="15" t="n">
        <v>0</v>
      </c>
      <c r="G22" s="15" t="inlineStr">
        <is>
          <t>Diligence Analyst
Evaluation Analyst</t>
        </is>
      </c>
      <c r="H22" s="15" t="inlineStr">
        <is>
          <t>Generate Diligence Questions
Run Opportunity Evaluation</t>
        </is>
      </c>
    </row>
    <row r="23" ht="30" customHeight="1" s="12">
      <c r="A23" s="15" t="inlineStr"/>
      <c r="B23" s="16">
        <f>HYPERLINK('Link Config'!$B$2&amp;"plugins/vc/skills/legal-diligence-coordination/SKILL.md","Legal Diligence Coordination")</f>
        <v/>
      </c>
      <c r="C23" s="15" t="n">
        <v>1</v>
      </c>
      <c r="D23" s="15" t="n">
        <v>2</v>
      </c>
      <c r="E23" s="15" t="n">
        <v>2</v>
      </c>
      <c r="F23" s="15" t="n">
        <v>0</v>
      </c>
      <c r="G23" s="15" t="inlineStr">
        <is>
          <t>Legal &amp; Compliance Desk</t>
        </is>
      </c>
      <c r="H23" s="15" t="inlineStr">
        <is>
          <t>Review Investment Documents
Run Legal Diligence</t>
        </is>
      </c>
    </row>
    <row r="24" ht="30" customHeight="1" s="12">
      <c r="A24" s="15" t="inlineStr"/>
      <c r="B24" s="16">
        <f>HYPERLINK('Link Config'!$B$2&amp;"plugins/vc/skills/pitch-deck-explainer/SKILL.md","Pitch Deck Explainer")</f>
        <v/>
      </c>
      <c r="C24" s="15" t="n">
        <v>2</v>
      </c>
      <c r="D24" s="15" t="n">
        <v>2</v>
      </c>
      <c r="E24" s="15" t="n">
        <v>0</v>
      </c>
      <c r="F24" s="15" t="n">
        <v>2</v>
      </c>
      <c r="G24" s="15" t="inlineStr">
        <is>
          <t>Dealflow Concierge
Meeting Operator</t>
        </is>
      </c>
      <c r="H24" s="15" t="inlineStr">
        <is>
          <t>Capture Opportunity Intake
Prepare Meeting</t>
        </is>
      </c>
    </row>
    <row r="25" ht="30" customHeight="1" s="12">
      <c r="A25" s="15" t="inlineStr"/>
      <c r="B25" s="16">
        <f>HYPERLINK('Link Config'!$B$2&amp;"plugins/vc/skills/team-and-hiring-assessment/SKILL.md","Team &amp; Hiring Assessment")</f>
        <v/>
      </c>
      <c r="C25" s="15" t="n">
        <v>1</v>
      </c>
      <c r="D25" s="15" t="n">
        <v>2</v>
      </c>
      <c r="E25" s="15" t="n">
        <v>2</v>
      </c>
      <c r="F25" s="15" t="n">
        <v>0</v>
      </c>
      <c r="G25" s="15" t="inlineStr">
        <is>
          <t>Diligence Analyst</t>
        </is>
      </c>
      <c r="H25" s="15" t="inlineStr">
        <is>
          <t>Run Founder Evaluation
Run Technical DD</t>
        </is>
      </c>
    </row>
    <row r="26" ht="30" customHeight="1" s="12">
      <c r="A26" s="15" t="inlineStr"/>
      <c r="B26" s="16">
        <f>HYPERLINK('Link Config'!$B$2&amp;"plugins/vc/skills/vc-affinity-discovery/SKILL.md","VC Affinity Discovery")</f>
        <v/>
      </c>
      <c r="C26" s="15" t="n">
        <v>2</v>
      </c>
      <c r="D26" s="15" t="n">
        <v>2</v>
      </c>
      <c r="E26" s="15" t="n">
        <v>0</v>
      </c>
      <c r="F26" s="15" t="n">
        <v>2</v>
      </c>
      <c r="G26" s="15" t="inlineStr">
        <is>
          <t>Deal Pipeline Setup Guide
Integration Operator</t>
        </is>
      </c>
      <c r="H26" s="15" t="inlineStr">
        <is>
          <t>Explore Affinity Lists and Stages
Set Up Affinity for Deal Pipelines</t>
        </is>
      </c>
    </row>
    <row r="27" ht="30" customHeight="1" s="12">
      <c r="A27" s="15" t="inlineStr"/>
      <c r="B27" s="16">
        <f>HYPERLINK('Link Config'!$B$2&amp;"plugins/vc/skills/vc-affinity-sync-write/SKILL.md","VC Affinity Sync Write")</f>
        <v/>
      </c>
      <c r="C27" s="15" t="n">
        <v>2</v>
      </c>
      <c r="D27" s="15" t="n">
        <v>2</v>
      </c>
      <c r="E27" s="15" t="n">
        <v>0</v>
      </c>
      <c r="F27" s="15" t="n">
        <v>2</v>
      </c>
      <c r="G27" s="15" t="inlineStr">
        <is>
          <t>Deal Pipeline Setup Guide
Integration Operator</t>
        </is>
      </c>
      <c r="H27" s="15" t="inlineStr">
        <is>
          <t>Draft Affinity Write-Back Proposals
Set Up Affinity for Deal Pipelines</t>
        </is>
      </c>
    </row>
    <row r="28" ht="30" customHeight="1" s="12">
      <c r="A28" s="15" t="inlineStr"/>
      <c r="B28" s="16">
        <f>HYPERLINK('Link Config'!$B$2&amp;"plugins/vc/skills/vc-apify-discovery/SKILL.md","VC Apify Discovery")</f>
        <v/>
      </c>
      <c r="C28" s="15" t="n">
        <v>1</v>
      </c>
      <c r="D28" s="15" t="n">
        <v>2</v>
      </c>
      <c r="E28" s="15" t="n">
        <v>0</v>
      </c>
      <c r="F28" s="15" t="n">
        <v>2</v>
      </c>
      <c r="G28" s="15" t="inlineStr">
        <is>
          <t>Integration Operator</t>
        </is>
      </c>
      <c r="H28" s="15" t="inlineStr">
        <is>
          <t>Explore Apify Origination Sources
Set Up Apify for Origination</t>
        </is>
      </c>
    </row>
    <row r="29" ht="30" customHeight="1" s="12">
      <c r="A29" s="15" t="inlineStr"/>
      <c r="B29" s="16">
        <f>HYPERLINK('Link Config'!$B$2&amp;"plugins/vc/skills/vc-apify-sync-read/SKILL.md","VC Apify Sync Read")</f>
        <v/>
      </c>
      <c r="C29" s="15" t="n">
        <v>1</v>
      </c>
      <c r="D29" s="15" t="n">
        <v>2</v>
      </c>
      <c r="E29" s="15" t="n">
        <v>0</v>
      </c>
      <c r="F29" s="15" t="n">
        <v>2</v>
      </c>
      <c r="G29" s="15" t="inlineStr">
        <is>
          <t>Integration Operator</t>
        </is>
      </c>
      <c r="H29" s="15" t="inlineStr">
        <is>
          <t>Preview Apify Origination Results
Set Up Apify for Origination</t>
        </is>
      </c>
    </row>
    <row r="30" ht="30" customHeight="1" s="12">
      <c r="A30" s="15" t="inlineStr"/>
      <c r="B30" s="16">
        <f>HYPERLINK('Link Config'!$B$2&amp;"plugins/vc/skills/vc-companies-house-sync-read/SKILL.md","VC Companies House Sync Read")</f>
        <v/>
      </c>
      <c r="C30" s="15" t="n">
        <v>1</v>
      </c>
      <c r="D30" s="15" t="n">
        <v>2</v>
      </c>
      <c r="E30" s="15" t="n">
        <v>0</v>
      </c>
      <c r="F30" s="15" t="n">
        <v>2</v>
      </c>
      <c r="G30" s="15" t="inlineStr">
        <is>
          <t>Integration Operator</t>
        </is>
      </c>
      <c r="H30" s="15" t="inlineStr">
        <is>
          <t>Configure Companies House Public Register Preview
Preview Companies House Public Register Results</t>
        </is>
      </c>
    </row>
    <row r="31" ht="30" customHeight="1" s="12">
      <c r="A31" s="15" t="inlineStr"/>
      <c r="B31" s="16">
        <f>HYPERLINK('Link Config'!$B$2&amp;"plugins/vc/skills/vc-google-drive-discovery/SKILL.md","VC Google Drive Discovery")</f>
        <v/>
      </c>
      <c r="C31" s="15" t="n">
        <v>1</v>
      </c>
      <c r="D31" s="15" t="n">
        <v>2</v>
      </c>
      <c r="E31" s="15" t="n">
        <v>0</v>
      </c>
      <c r="F31" s="15" t="n">
        <v>2</v>
      </c>
      <c r="G31" s="15" t="inlineStr">
        <is>
          <t>Integration Operator</t>
        </is>
      </c>
      <c r="H31" s="15" t="inlineStr">
        <is>
          <t>Explore Google Drive Sources
Set Up Google Drive for Deal Pipelines</t>
        </is>
      </c>
    </row>
    <row r="32" ht="30" customHeight="1" s="12">
      <c r="A32" s="15" t="inlineStr"/>
      <c r="B32" s="16">
        <f>HYPERLINK('Link Config'!$B$2&amp;"plugins/vc/skills/vc-google-drive-sync-read/SKILL.md","VC Google Drive Sync Read")</f>
        <v/>
      </c>
      <c r="C32" s="15" t="n">
        <v>1</v>
      </c>
      <c r="D32" s="15" t="n">
        <v>2</v>
      </c>
      <c r="E32" s="15" t="n">
        <v>0</v>
      </c>
      <c r="F32" s="15" t="n">
        <v>2</v>
      </c>
      <c r="G32" s="15" t="inlineStr">
        <is>
          <t>Integration Operator</t>
        </is>
      </c>
      <c r="H32" s="15" t="inlineStr">
        <is>
          <t>Preview Google Drive Context
Set Up Google Drive for Deal Pipelines</t>
        </is>
      </c>
    </row>
    <row r="33" ht="30" customHeight="1" s="12">
      <c r="A33" s="15" t="inlineStr"/>
      <c r="B33" s="16">
        <f>HYPERLINK('Link Config'!$B$2&amp;"plugins/vc/skills/vc-google-drive-sync-write/SKILL.md","VC Google Drive Sync Write")</f>
        <v/>
      </c>
      <c r="C33" s="15" t="n">
        <v>1</v>
      </c>
      <c r="D33" s="15" t="n">
        <v>2</v>
      </c>
      <c r="E33" s="15" t="n">
        <v>0</v>
      </c>
      <c r="F33" s="15" t="n">
        <v>2</v>
      </c>
      <c r="G33" s="15" t="inlineStr">
        <is>
          <t>Integration Operator</t>
        </is>
      </c>
      <c r="H33" s="15" t="inlineStr">
        <is>
          <t>Draft Google Drive File Proposals
Set Up Google Drive for Deal Pipelines</t>
        </is>
      </c>
    </row>
    <row r="34" ht="30" customHeight="1" s="12">
      <c r="A34" s="15" t="inlineStr"/>
      <c r="B34" s="16">
        <f>HYPERLINK('Link Config'!$B$2&amp;"plugins/vc/skills/vc-harmonic-discovery/SKILL.md","VC Harmonic Discovery")</f>
        <v/>
      </c>
      <c r="C34" s="15" t="n">
        <v>1</v>
      </c>
      <c r="D34" s="15" t="n">
        <v>2</v>
      </c>
      <c r="E34" s="15" t="n">
        <v>0</v>
      </c>
      <c r="F34" s="15" t="n">
        <v>2</v>
      </c>
      <c r="G34" s="15" t="inlineStr">
        <is>
          <t>Integration Operator</t>
        </is>
      </c>
      <c r="H34" s="15" t="inlineStr">
        <is>
          <t>Explore Harmonic Source Scopes
Set Up Harmonic for Deal Pipelines</t>
        </is>
      </c>
    </row>
    <row r="35" ht="30" customHeight="1" s="12">
      <c r="A35" s="15" t="inlineStr"/>
      <c r="B35" s="16">
        <f>HYPERLINK('Link Config'!$B$2&amp;"plugins/vc/skills/vc-harmonic-sync-read/SKILL.md","VC Harmonic Sync Read")</f>
        <v/>
      </c>
      <c r="C35" s="15" t="n">
        <v>1</v>
      </c>
      <c r="D35" s="15" t="n">
        <v>2</v>
      </c>
      <c r="E35" s="15" t="n">
        <v>0</v>
      </c>
      <c r="F35" s="15" t="n">
        <v>2</v>
      </c>
      <c r="G35" s="15" t="inlineStr">
        <is>
          <t>Integration Operator</t>
        </is>
      </c>
      <c r="H35" s="15" t="inlineStr">
        <is>
          <t>Preview Harmonic Search Results
Set Up Harmonic for Deal Pipelines</t>
        </is>
      </c>
    </row>
    <row r="36" ht="30" customHeight="1" s="12">
      <c r="A36" s="15" t="inlineStr"/>
      <c r="B36" s="16">
        <f>HYPERLINK('Link Config'!$B$2&amp;"plugins/vc/skills/vc-notion-discovery/SKILL.md","VC Notion Discovery")</f>
        <v/>
      </c>
      <c r="C36" s="15" t="n">
        <v>1</v>
      </c>
      <c r="D36" s="15" t="n">
        <v>2</v>
      </c>
      <c r="E36" s="15" t="n">
        <v>0</v>
      </c>
      <c r="F36" s="15" t="n">
        <v>2</v>
      </c>
      <c r="G36" s="15" t="inlineStr">
        <is>
          <t>Integration Operator</t>
        </is>
      </c>
      <c r="H36" s="15" t="inlineStr">
        <is>
          <t>Explore Notion Pages and Databases
Set Up Notion for Deal Pipelines</t>
        </is>
      </c>
    </row>
    <row r="37" ht="30" customHeight="1" s="12">
      <c r="A37" s="15" t="inlineStr"/>
      <c r="B37" s="16">
        <f>HYPERLINK('Link Config'!$B$2&amp;"plugins/vc/skills/vc-notion-sync-read/SKILL.md","VC Notion Sync Read")</f>
        <v/>
      </c>
      <c r="C37" s="15" t="n">
        <v>1</v>
      </c>
      <c r="D37" s="15" t="n">
        <v>2</v>
      </c>
      <c r="E37" s="15" t="n">
        <v>0</v>
      </c>
      <c r="F37" s="15" t="n">
        <v>2</v>
      </c>
      <c r="G37" s="15" t="inlineStr">
        <is>
          <t>Integration Operator</t>
        </is>
      </c>
      <c r="H37" s="15" t="inlineStr">
        <is>
          <t>Preview Notion Context
Set Up Notion for Deal Pipelines</t>
        </is>
      </c>
    </row>
    <row r="38" ht="30" customHeight="1" s="12">
      <c r="A38" s="15" t="inlineStr"/>
      <c r="B38" s="16">
        <f>HYPERLINK('Link Config'!$B$2&amp;"plugins/vc/skills/vc-origination-deal-room-promotion/SKILL.md","Origination Deal Pipeline Promotion")</f>
        <v/>
      </c>
      <c r="C38" s="15" t="n">
        <v>1</v>
      </c>
      <c r="D38" s="15" t="n">
        <v>2</v>
      </c>
      <c r="E38" s="15" t="n">
        <v>2</v>
      </c>
      <c r="F38" s="15" t="n">
        <v>0</v>
      </c>
      <c r="G38" s="15" t="inlineStr">
        <is>
          <t>Sourcing Operator</t>
        </is>
      </c>
      <c r="H38" s="15" t="inlineStr">
        <is>
          <t>Promote Candidate to Deal Pipeline
Review Outreach Outcome</t>
        </is>
      </c>
    </row>
    <row r="39" ht="30" customHeight="1" s="12">
      <c r="A39" s="15" t="inlineStr"/>
      <c r="B39" s="16">
        <f>HYPERLINK('Link Config'!$B$2&amp;"plugins/vc/skills/vc-origination-ic-summary-preparation/SKILL.md","Origination Prospect Summary Preparation")</f>
        <v/>
      </c>
      <c r="C39" s="15" t="n">
        <v>1</v>
      </c>
      <c r="D39" s="15" t="n">
        <v>2</v>
      </c>
      <c r="E39" s="15" t="n">
        <v>2</v>
      </c>
      <c r="F39" s="15" t="n">
        <v>0</v>
      </c>
      <c r="G39" s="15" t="inlineStr">
        <is>
          <t>Sourcing Operator</t>
        </is>
      </c>
      <c r="H39" s="15" t="inlineStr">
        <is>
          <t>Prepare Prospect Summary
Review Unicorn Signature</t>
        </is>
      </c>
    </row>
    <row r="40" ht="30" customHeight="1" s="12">
      <c r="A40" s="15" t="inlineStr"/>
      <c r="B40" s="16">
        <f>HYPERLINK('Link Config'!$B$2&amp;"plugins/vc/skills/vc-origination-pipeline-orchestration/SKILL.md","Origination Pipeline Orchestration")</f>
        <v/>
      </c>
      <c r="C40" s="15" t="n">
        <v>1</v>
      </c>
      <c r="D40" s="15" t="n">
        <v>2</v>
      </c>
      <c r="E40" s="15" t="n">
        <v>1</v>
      </c>
      <c r="F40" s="15" t="n">
        <v>1</v>
      </c>
      <c r="G40" s="15" t="inlineStr">
        <is>
          <t>Sourcing Operator</t>
        </is>
      </c>
      <c r="H40" s="15" t="inlineStr">
        <is>
          <t>Configure Origination Pipeline
Run VC Sourcing Pipeline</t>
        </is>
      </c>
    </row>
    <row r="41" ht="30" customHeight="1" s="12">
      <c r="A41" s="15" t="inlineStr"/>
      <c r="B41" s="16">
        <f>HYPERLINK('Link Config'!$B$2&amp;"plugins/vc/skills/vc-relationship-context-check/SKILL.md","VC Relationship Context Check")</f>
        <v/>
      </c>
      <c r="C41" s="15" t="n">
        <v>1</v>
      </c>
      <c r="D41" s="15" t="n">
        <v>2</v>
      </c>
      <c r="E41" s="15" t="n">
        <v>2</v>
      </c>
      <c r="F41" s="15" t="n">
        <v>0</v>
      </c>
      <c r="G41" s="15" t="inlineStr">
        <is>
          <t>Sourcing Operator</t>
        </is>
      </c>
      <c r="H41" s="15" t="inlineStr">
        <is>
          <t>Check Affinity Relationship Context
Review Portfolio Overlap</t>
        </is>
      </c>
    </row>
    <row r="42" ht="30" customHeight="1" s="12">
      <c r="A42" s="15" t="inlineStr"/>
      <c r="B42" s="16">
        <f>HYPERLINK('Link Config'!$B$2&amp;"plugins/vc/skills/vc-slack-discovery/SKILL.md","VC Slack Discovery")</f>
        <v/>
      </c>
      <c r="C42" s="15" t="n">
        <v>1</v>
      </c>
      <c r="D42" s="15" t="n">
        <v>2</v>
      </c>
      <c r="E42" s="15" t="n">
        <v>0</v>
      </c>
      <c r="F42" s="15" t="n">
        <v>2</v>
      </c>
      <c r="G42" s="15" t="inlineStr">
        <is>
          <t>Integration Operator</t>
        </is>
      </c>
      <c r="H42" s="15" t="inlineStr">
        <is>
          <t>Explore Slack Channels for VC Context
Set Up Slack for Deal Pipelines</t>
        </is>
      </c>
    </row>
    <row r="43" ht="30" customHeight="1" s="12">
      <c r="A43" s="15" t="inlineStr"/>
      <c r="B43" s="16">
        <f>HYPERLINK('Link Config'!$B$2&amp;"plugins/vc/skills/vc-slack-sync-read/SKILL.md","VC Slack Sync Read")</f>
        <v/>
      </c>
      <c r="C43" s="15" t="n">
        <v>1</v>
      </c>
      <c r="D43" s="15" t="n">
        <v>2</v>
      </c>
      <c r="E43" s="15" t="n">
        <v>0</v>
      </c>
      <c r="F43" s="15" t="n">
        <v>2</v>
      </c>
      <c r="G43" s="15" t="inlineStr">
        <is>
          <t>Integration Operator</t>
        </is>
      </c>
      <c r="H43" s="15" t="inlineStr">
        <is>
          <t>Preview Slack Deal Context
Set Up Slack for Deal Pipelines</t>
        </is>
      </c>
    </row>
    <row r="44" ht="30" customHeight="1" s="12">
      <c r="A44" s="15" t="inlineStr"/>
      <c r="B44" s="16">
        <f>HYPERLINK('Link Config'!$B$2&amp;"plugins/vc/skills/vc-slack-sync-write/SKILL.md","VC Slack Sync Write")</f>
        <v/>
      </c>
      <c r="C44" s="15" t="n">
        <v>1</v>
      </c>
      <c r="D44" s="15" t="n">
        <v>2</v>
      </c>
      <c r="E44" s="15" t="n">
        <v>0</v>
      </c>
      <c r="F44" s="15" t="n">
        <v>2</v>
      </c>
      <c r="G44" s="15" t="inlineStr">
        <is>
          <t>Integration Operator</t>
        </is>
      </c>
      <c r="H44" s="15" t="inlineStr">
        <is>
          <t>Draft Slack Handoff Notifications
Set Up Slack for Deal Pipelines</t>
        </is>
      </c>
    </row>
    <row r="45" ht="18" customHeight="1" s="12">
      <c r="A45" s="15" t="inlineStr"/>
      <c r="B45" s="16">
        <f>HYPERLINK('Link Config'!$B$2&amp;"plugins/vc/skills/commercial-diligence-workstream/SKILL.md","Commercial Diligence Workstream")</f>
        <v/>
      </c>
      <c r="C45" s="15" t="n">
        <v>1</v>
      </c>
      <c r="D45" s="15" t="n">
        <v>1</v>
      </c>
      <c r="E45" s="15" t="n">
        <v>1</v>
      </c>
      <c r="F45" s="15" t="n">
        <v>0</v>
      </c>
      <c r="G45" s="15" t="inlineStr">
        <is>
          <t>Diligence Analyst</t>
        </is>
      </c>
      <c r="H45" s="15" t="inlineStr">
        <is>
          <t>Run Commercial DD</t>
        </is>
      </c>
    </row>
    <row r="46" ht="18" customHeight="1" s="12">
      <c r="A46" s="15" t="inlineStr"/>
      <c r="B46" s="16">
        <f>HYPERLINK('Link Config'!$B$2&amp;"plugins/vc/skills/commercial-evaluation-and-market-risk/SKILL.md","Commercial Evaluation &amp; Market Risk")</f>
        <v/>
      </c>
      <c r="C46" s="15" t="n">
        <v>1</v>
      </c>
      <c r="D46" s="15" t="n">
        <v>1</v>
      </c>
      <c r="E46" s="15" t="n">
        <v>1</v>
      </c>
      <c r="F46" s="15" t="n">
        <v>0</v>
      </c>
      <c r="G46" s="15" t="inlineStr">
        <is>
          <t>Evaluation Analyst</t>
        </is>
      </c>
      <c r="H46" s="15" t="inlineStr">
        <is>
          <t>Run Commercial Evaluation</t>
        </is>
      </c>
    </row>
    <row r="47" ht="18" customHeight="1" s="12">
      <c r="A47" s="15" t="inlineStr"/>
      <c r="B47" s="16">
        <f>HYPERLINK('Link Config'!$B$2&amp;"plugins/vc/skills/financial-diligence-workstream/SKILL.md","Financial Diligence Workstream")</f>
        <v/>
      </c>
      <c r="C47" s="15" t="n">
        <v>1</v>
      </c>
      <c r="D47" s="15" t="n">
        <v>1</v>
      </c>
      <c r="E47" s="15" t="n">
        <v>1</v>
      </c>
      <c r="F47" s="15" t="n">
        <v>0</v>
      </c>
      <c r="G47" s="15" t="inlineStr">
        <is>
          <t>Diligence Analyst</t>
        </is>
      </c>
      <c r="H47" s="15" t="inlineStr">
        <is>
          <t>Run Financial DD</t>
        </is>
      </c>
    </row>
    <row r="48" ht="18" customHeight="1" s="12">
      <c r="A48" s="15" t="inlineStr"/>
      <c r="B48" s="16">
        <f>HYPERLINK('Link Config'!$B$2&amp;"plugins/vc/skills/financial-evaluation-and-financing-risk/SKILL.md","Financial Evaluation &amp; Financing Risk")</f>
        <v/>
      </c>
      <c r="C48" s="15" t="n">
        <v>1</v>
      </c>
      <c r="D48" s="15" t="n">
        <v>1</v>
      </c>
      <c r="E48" s="15" t="n">
        <v>1</v>
      </c>
      <c r="F48" s="15" t="n">
        <v>0</v>
      </c>
      <c r="G48" s="15" t="inlineStr">
        <is>
          <t>Evaluation Analyst</t>
        </is>
      </c>
      <c r="H48" s="15" t="inlineStr">
        <is>
          <t>Run Financial Evaluation</t>
        </is>
      </c>
    </row>
    <row r="49" ht="18" customHeight="1" s="12">
      <c r="A49" s="15" t="inlineStr"/>
      <c r="B49" s="16">
        <f>HYPERLINK('Link Config'!$B$2&amp;"plugins/vc/skills/founder-evaluation-and-reference-checking/SKILL.md","Founder Evaluation &amp; Reference Checking")</f>
        <v/>
      </c>
      <c r="C49" s="15" t="n">
        <v>1</v>
      </c>
      <c r="D49" s="15" t="n">
        <v>1</v>
      </c>
      <c r="E49" s="15" t="n">
        <v>1</v>
      </c>
      <c r="F49" s="15" t="n">
        <v>0</v>
      </c>
      <c r="G49" s="15" t="inlineStr">
        <is>
          <t>Diligence Analyst</t>
        </is>
      </c>
      <c r="H49" s="15" t="inlineStr">
        <is>
          <t>Run Founder Evaluation</t>
        </is>
      </c>
    </row>
    <row r="50" ht="18" customHeight="1" s="12">
      <c r="A50" s="15" t="inlineStr"/>
      <c r="B50" s="16">
        <f>HYPERLINK('Link Config'!$B$2&amp;"plugins/vc/skills/founder-materials-request/SKILL.md","Founder Materials Request")</f>
        <v/>
      </c>
      <c r="C50" s="15" t="n">
        <v>1</v>
      </c>
      <c r="D50" s="15" t="n">
        <v>1</v>
      </c>
      <c r="E50" s="15" t="n">
        <v>0</v>
      </c>
      <c r="F50" s="15" t="n">
        <v>1</v>
      </c>
      <c r="G50" s="15" t="inlineStr">
        <is>
          <t>Dealflow Concierge</t>
        </is>
      </c>
      <c r="H50" s="15" t="inlineStr">
        <is>
          <t>Request Founder Materials</t>
        </is>
      </c>
    </row>
    <row r="51" ht="18" customHeight="1" s="12">
      <c r="A51" s="15" t="inlineStr"/>
      <c r="B51" s="16">
        <f>HYPERLINK('Link Config'!$B$2&amp;"plugins/vc/skills/portfolio-onboarding-and-100-day-plan/SKILL.md","Portfolio Onboarding &amp; 100-Day Plan")</f>
        <v/>
      </c>
      <c r="C51" s="15" t="n">
        <v>1</v>
      </c>
      <c r="D51" s="15" t="n">
        <v>1</v>
      </c>
      <c r="E51" s="15" t="n">
        <v>1</v>
      </c>
      <c r="F51" s="15" t="n">
        <v>0</v>
      </c>
      <c r="G51" s="15" t="inlineStr">
        <is>
          <t>Legal &amp; Compliance Desk</t>
        </is>
      </c>
      <c r="H51" s="15" t="inlineStr">
        <is>
          <t>Prepare Portfolio Onboarding</t>
        </is>
      </c>
    </row>
    <row r="52" ht="18" customHeight="1" s="12">
      <c r="A52" s="15" t="inlineStr"/>
      <c r="B52" s="16">
        <f>HYPERLINK('Link Config'!$B$2&amp;"plugins/vc/skills/team-evaluation-and-founder-risk/SKILL.md","Team Evaluation &amp; Founder Risk")</f>
        <v/>
      </c>
      <c r="C52" s="15" t="n">
        <v>1</v>
      </c>
      <c r="D52" s="15" t="n">
        <v>1</v>
      </c>
      <c r="E52" s="15" t="n">
        <v>1</v>
      </c>
      <c r="F52" s="15" t="n">
        <v>0</v>
      </c>
      <c r="G52" s="15" t="inlineStr">
        <is>
          <t>Evaluation Analyst</t>
        </is>
      </c>
      <c r="H52" s="15" t="inlineStr">
        <is>
          <t>Run Team Evaluation</t>
        </is>
      </c>
    </row>
    <row r="53" ht="18" customHeight="1" s="12">
      <c r="A53" s="15" t="inlineStr"/>
      <c r="B53" s="16">
        <f>HYPERLINK('Link Config'!$B$2&amp;"plugins/vc/skills/technical-diligence-workstream/SKILL.md","Technical Diligence Workstream")</f>
        <v/>
      </c>
      <c r="C53" s="15" t="n">
        <v>1</v>
      </c>
      <c r="D53" s="15" t="n">
        <v>1</v>
      </c>
      <c r="E53" s="15" t="n">
        <v>1</v>
      </c>
      <c r="F53" s="15" t="n">
        <v>0</v>
      </c>
      <c r="G53" s="15" t="inlineStr">
        <is>
          <t>Diligence Analyst</t>
        </is>
      </c>
      <c r="H53" s="15" t="inlineStr">
        <is>
          <t>Run Technical DD</t>
        </is>
      </c>
    </row>
    <row r="54" ht="18" customHeight="1" s="12">
      <c r="A54" s="15" t="inlineStr"/>
      <c r="B54" s="16">
        <f>HYPERLINK('Link Config'!$B$2&amp;"plugins/vc/skills/technical-evaluation-and-product-risk/SKILL.md","Technical Evaluation &amp; Product Risk")</f>
        <v/>
      </c>
      <c r="C54" s="15" t="n">
        <v>1</v>
      </c>
      <c r="D54" s="15" t="n">
        <v>1</v>
      </c>
      <c r="E54" s="15" t="n">
        <v>1</v>
      </c>
      <c r="F54" s="15" t="n">
        <v>0</v>
      </c>
      <c r="G54" s="15" t="inlineStr">
        <is>
          <t>Evaluation Analyst</t>
        </is>
      </c>
      <c r="H54" s="15" t="inlineStr">
        <is>
          <t>Run Technical Evaluation</t>
        </is>
      </c>
    </row>
    <row r="55" ht="18" customHeight="1" s="12">
      <c r="A55" s="15" t="inlineStr"/>
      <c r="B55" s="16">
        <f>HYPERLINK('Link Config'!$B$2&amp;"plugins/vc/skills/term-sheet-negotiation-brief/SKILL.md","Term Sheet Negotiation Brief")</f>
        <v/>
      </c>
      <c r="C55" s="15" t="n">
        <v>1</v>
      </c>
      <c r="D55" s="15" t="n">
        <v>1</v>
      </c>
      <c r="E55" s="15" t="n">
        <v>1</v>
      </c>
      <c r="F55" s="15" t="n">
        <v>0</v>
      </c>
      <c r="G55" s="15" t="inlineStr">
        <is>
          <t>Legal &amp; Compliance Desk</t>
        </is>
      </c>
      <c r="H55" s="15" t="inlineStr">
        <is>
          <t>Track Term Sheet Negotiation</t>
        </is>
      </c>
    </row>
    <row r="56" ht="18" customHeight="1" s="12">
      <c r="A56" s="15" t="inlineStr"/>
      <c r="B56" s="16">
        <f>HYPERLINK('Link Config'!$B$2&amp;"plugins/vc/skills/vc-affinity-deal-room-import/SKILL.md","VC Affinity Deal Pipeline Import")</f>
        <v/>
      </c>
      <c r="C56" s="15" t="n">
        <v>1</v>
      </c>
      <c r="D56" s="15" t="n">
        <v>1</v>
      </c>
      <c r="E56" s="15" t="n">
        <v>0</v>
      </c>
      <c r="F56" s="15" t="n">
        <v>1</v>
      </c>
      <c r="G56" s="15" t="inlineStr">
        <is>
          <t>Deal Pipeline Setup Guide</t>
        </is>
      </c>
      <c r="H56" s="15" t="inlineStr">
        <is>
          <t>Import Affinity Deal Pipeline Seed</t>
        </is>
      </c>
    </row>
    <row r="57" ht="18" customHeight="1" s="12">
      <c r="A57" s="15" t="inlineStr"/>
      <c r="B57" s="16">
        <f>HYPERLINK('Link Config'!$B$2&amp;"plugins/vc/skills/vc-apify-linkedin-founder-discovery/SKILL.md","VC Apify LinkedIn Founder Discovery")</f>
        <v/>
      </c>
      <c r="C57" s="15" t="n">
        <v>1</v>
      </c>
      <c r="D57" s="15" t="n">
        <v>1</v>
      </c>
      <c r="E57" s="15" t="n">
        <v>1</v>
      </c>
      <c r="F57" s="15" t="n">
        <v>0</v>
      </c>
      <c r="G57" s="15" t="inlineStr">
        <is>
          <t>Sourcing Operator</t>
        </is>
      </c>
      <c r="H57" s="15" t="inlineStr">
        <is>
          <t>Discover LinkedIn Founder Candidates</t>
        </is>
      </c>
    </row>
    <row r="58" ht="18" customHeight="1" s="12">
      <c r="A58" s="15" t="inlineStr"/>
      <c r="B58" s="16">
        <f>HYPERLINK('Link Config'!$B$2&amp;"plugins/vc/skills/vc-apify-x-founder-discovery/SKILL.md","VC Apify X Founder Discovery")</f>
        <v/>
      </c>
      <c r="C58" s="15" t="n">
        <v>1</v>
      </c>
      <c r="D58" s="15" t="n">
        <v>1</v>
      </c>
      <c r="E58" s="15" t="n">
        <v>1</v>
      </c>
      <c r="F58" s="15" t="n">
        <v>0</v>
      </c>
      <c r="G58" s="15" t="inlineStr">
        <is>
          <t>Sourcing Operator</t>
        </is>
      </c>
      <c r="H58" s="15" t="inlineStr">
        <is>
          <t>Discover X Founder Signals</t>
        </is>
      </c>
    </row>
    <row r="59" ht="18" customHeight="1" s="12">
      <c r="A59" s="15" t="inlineStr"/>
      <c r="B59" s="16">
        <f>HYPERLINK('Link Config'!$B$2&amp;"plugins/vc/skills/vc-github-builder-signal-discovery/SKILL.md","VC GitHub Builder Signal Discovery")</f>
        <v/>
      </c>
      <c r="C59" s="15" t="n">
        <v>1</v>
      </c>
      <c r="D59" s="15" t="n">
        <v>1</v>
      </c>
      <c r="E59" s="15" t="n">
        <v>1</v>
      </c>
      <c r="F59" s="15" t="n">
        <v>0</v>
      </c>
      <c r="G59" s="15" t="inlineStr">
        <is>
          <t>Sourcing Operator</t>
        </is>
      </c>
      <c r="H59" s="15" t="inlineStr">
        <is>
          <t>Discover GitHub Builder Signals</t>
        </is>
      </c>
    </row>
    <row r="60" ht="18" customHeight="1" s="12">
      <c r="A60" s="15" t="inlineStr"/>
      <c r="B60" s="16">
        <f>HYPERLINK('Link Config'!$B$2&amp;"plugins/vc/skills/vc-linkedin-query-spend-audit/SKILL.md","VC LinkedIn Query Spend Audit")</f>
        <v/>
      </c>
      <c r="C60" s="15" t="n">
        <v>1</v>
      </c>
      <c r="D60" s="15" t="n">
        <v>1</v>
      </c>
      <c r="E60" s="15" t="n">
        <v>1</v>
      </c>
      <c r="F60" s="15" t="n">
        <v>0</v>
      </c>
      <c r="G60" s="15" t="inlineStr">
        <is>
          <t>Sourcing Operator</t>
        </is>
      </c>
      <c r="H60" s="15" t="inlineStr">
        <is>
          <t>Audit LinkedIn Query Spend</t>
        </is>
      </c>
    </row>
    <row r="61" ht="18" customHeight="1" s="12">
      <c r="A61" s="15" t="inlineStr"/>
      <c r="B61" s="16">
        <f>HYPERLINK('Link Config'!$B$2&amp;"plugins/vc/skills/vc-manual-tip-ingestion/SKILL.md","VC Manual Tip Ingestion")</f>
        <v/>
      </c>
      <c r="C61" s="15" t="n">
        <v>1</v>
      </c>
      <c r="D61" s="15" t="n">
        <v>1</v>
      </c>
      <c r="E61" s="15" t="n">
        <v>1</v>
      </c>
      <c r="F61" s="15" t="n">
        <v>0</v>
      </c>
      <c r="G61" s="15" t="inlineStr">
        <is>
          <t>Sourcing Operator</t>
        </is>
      </c>
      <c r="H61" s="15" t="inlineStr">
        <is>
          <t>Ingest Manual Sourcing Tip</t>
        </is>
      </c>
    </row>
    <row r="62" ht="18" customHeight="1" s="12">
      <c r="A62" s="15" t="inlineStr"/>
      <c r="B62" s="16">
        <f>HYPERLINK('Link Config'!$B$2&amp;"plugins/vc/skills/vc-portfolio-overlap-review/SKILL.md","VC Portfolio Overlap Review")</f>
        <v/>
      </c>
      <c r="C62" s="15" t="n">
        <v>1</v>
      </c>
      <c r="D62" s="15" t="n">
        <v>1</v>
      </c>
      <c r="E62" s="15" t="n">
        <v>1</v>
      </c>
      <c r="F62" s="15" t="n">
        <v>0</v>
      </c>
      <c r="G62" s="15" t="inlineStr">
        <is>
          <t>Sourcing Operator</t>
        </is>
      </c>
      <c r="H62" s="15" t="inlineStr">
        <is>
          <t>Review Portfolio Overlap</t>
        </is>
      </c>
    </row>
    <row r="63" ht="18" customHeight="1" s="12">
      <c r="A63" s="15" t="inlineStr"/>
      <c r="B63" s="16">
        <f>HYPERLINK('Link Config'!$B$2&amp;"plugins/vc/skills/vc-reddit-builder-signal-discovery/SKILL.md","VC Reddit Builder Signal Discovery")</f>
        <v/>
      </c>
      <c r="C63" s="15" t="n">
        <v>1</v>
      </c>
      <c r="D63" s="15" t="n">
        <v>1</v>
      </c>
      <c r="E63" s="15" t="n">
        <v>1</v>
      </c>
      <c r="F63" s="15" t="n">
        <v>0</v>
      </c>
      <c r="G63" s="15" t="inlineStr">
        <is>
          <t>Sourcing Operator</t>
        </is>
      </c>
      <c r="H63" s="15" t="inlineStr">
        <is>
          <t>Discover Reddit Builder Signals</t>
        </is>
      </c>
    </row>
    <row r="64" ht="18" customHeight="1" s="12">
      <c r="A64" s="15" t="inlineStr"/>
      <c r="B64" s="16">
        <f>HYPERLINK('Link Config'!$B$2&amp;"plugins/vc/skills/vc-reddit-inbox-approval/SKILL.md","VC Reddit Inbox Approval")</f>
        <v/>
      </c>
      <c r="C64" s="15" t="n">
        <v>1</v>
      </c>
      <c r="D64" s="15" t="n">
        <v>1</v>
      </c>
      <c r="E64" s="15" t="n">
        <v>1</v>
      </c>
      <c r="F64" s="15" t="n">
        <v>0</v>
      </c>
      <c r="G64" s="15" t="inlineStr">
        <is>
          <t>Sourcing Operator</t>
        </is>
      </c>
      <c r="H64" s="15" t="inlineStr">
        <is>
          <t>Review Reddit Candidate Inbox</t>
        </is>
      </c>
    </row>
    <row r="65" ht="18" customHeight="1" s="12">
      <c r="A65" s="15" t="inlineStr"/>
      <c r="B65" s="16">
        <f>HYPERLINK('Link Config'!$B$2&amp;"plugins/vc/skills/vc-source-error-and-spend-audit/SKILL.md","VC Source Error &amp; Spend Audit")</f>
        <v/>
      </c>
      <c r="C65" s="15" t="n">
        <v>1</v>
      </c>
      <c r="D65" s="15" t="n">
        <v>1</v>
      </c>
      <c r="E65" s="15" t="n">
        <v>0</v>
      </c>
      <c r="F65" s="15" t="n">
        <v>1</v>
      </c>
      <c r="G65" s="15" t="inlineStr">
        <is>
          <t>Sourcing Operator</t>
        </is>
      </c>
      <c r="H65" s="15" t="inlineStr">
        <is>
          <t>Review Source Errors and Spend</t>
        </is>
      </c>
    </row>
    <row r="66" ht="18" customHeight="1" s="12">
      <c r="A66" s="15" t="inlineStr"/>
      <c r="B66" s="16">
        <f>HYPERLINK('Link Config'!$B$2&amp;"plugins/vc/skills/vc-sourcing-candidate-enrichment/SKILL.md","VC Sourcing Candidate Enrichment")</f>
        <v/>
      </c>
      <c r="C66" s="15" t="n">
        <v>1</v>
      </c>
      <c r="D66" s="15" t="n">
        <v>1</v>
      </c>
      <c r="E66" s="15" t="n">
        <v>1</v>
      </c>
      <c r="F66" s="15" t="n">
        <v>0</v>
      </c>
      <c r="G66" s="15" t="inlineStr">
        <is>
          <t>Sourcing Operator</t>
        </is>
      </c>
      <c r="H66" s="15" t="inlineStr">
        <is>
          <t>Enrich Sourcing Candidate</t>
        </is>
      </c>
    </row>
    <row r="67" ht="18" customHeight="1" s="12">
      <c r="A67" s="15" t="inlineStr"/>
      <c r="B67" s="16">
        <f>HYPERLINK('Link Config'!$B$2&amp;"plugins/vc/skills/vc-sourcing-digest-generation/SKILL.md","VC Sourcing Digest Generation")</f>
        <v/>
      </c>
      <c r="C67" s="15" t="n">
        <v>1</v>
      </c>
      <c r="D67" s="15" t="n">
        <v>1</v>
      </c>
      <c r="E67" s="15" t="n">
        <v>1</v>
      </c>
      <c r="F67" s="15" t="n">
        <v>0</v>
      </c>
      <c r="G67" s="15" t="inlineStr">
        <is>
          <t>Sourcing Operator</t>
        </is>
      </c>
      <c r="H67" s="15" t="inlineStr">
        <is>
          <t>Generate Sourcing Digest</t>
        </is>
      </c>
    </row>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H67"/>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55"/>
  <sheetViews>
    <sheetView workbookViewId="0">
      <pane ySplit="2" topLeftCell="A3" activePane="bottomLeft" state="frozen"/>
      <selection pane="bottomLeft" activeCell="A1" sqref="A1"/>
    </sheetView>
  </sheetViews>
  <sheetFormatPr baseColWidth="8" defaultColWidth="12.63" defaultRowHeight="15" customHeight="1"/>
  <cols>
    <col width="38" customWidth="1" style="12" min="1" max="1"/>
    <col width="18" customWidth="1" style="12" min="2" max="2"/>
    <col width="34" customWidth="1" style="12" min="3" max="3"/>
    <col width="80" customWidth="1" style="12" min="4" max="4"/>
    <col width="50" customWidth="1" style="12" min="5" max="5"/>
    <col width="42.38" customWidth="1" style="12" min="6" max="6"/>
    <col width="8.880000000000001" customWidth="1" style="12" min="7" max="26"/>
  </cols>
  <sheetData>
    <row r="1" ht="18" customHeight="1" s="12">
      <c r="A1" s="13" t="inlineStr">
        <is>
          <t>Document</t>
        </is>
      </c>
      <c r="B1" s="13" t="inlineStr">
        <is>
          <t>Type</t>
        </is>
      </c>
      <c r="C1" s="13" t="inlineStr">
        <is>
          <t>Projects</t>
        </is>
      </c>
      <c r="D1" s="13" t="inlineStr">
        <is>
          <t>Description</t>
        </is>
      </c>
      <c r="E1" s="13" t="inlineStr">
        <is>
          <t>Related Tasks</t>
        </is>
      </c>
    </row>
    <row r="2" ht="18" customHeight="1" s="12">
      <c r="A2" s="14" t="inlineStr">
        <is>
          <t>Linked document</t>
        </is>
      </c>
      <c r="B2" s="14" t="inlineStr">
        <is>
          <t>Document Type</t>
        </is>
      </c>
      <c r="C2" s="14" t="inlineStr">
        <is>
          <t>Supported Project Types</t>
        </is>
      </c>
      <c r="D2" s="14" t="inlineStr">
        <is>
          <t>Description</t>
        </is>
      </c>
      <c r="E2" s="14" t="inlineStr">
        <is>
          <t>Related Task Slugs</t>
        </is>
      </c>
    </row>
    <row r="3" ht="60" customHeight="1" s="12">
      <c r="A3" s="16">
        <f>HYPERLINK('Link Config'!$B$2&amp;"plugins/vc/alludium/documents/shared/investment-screening-framework.md","Investment Screening Framework")</f>
        <v/>
      </c>
      <c r="B3" s="15" t="inlineStr">
        <is>
          <t>methodology</t>
        </is>
      </c>
      <c r="C3" s="15" t="inlineStr">
        <is>
          <t>vc_deal_room
vc_origination_pipeline</t>
        </is>
      </c>
      <c r="D3" s="15" t="inlineStr">
        <is>
          <t>Reusable first-look scorecard methodology for deciding whether a venture opportunity deserves deeper work.</t>
        </is>
      </c>
      <c r="E3" s="15" t="inlineStr">
        <is>
          <t>run-investment-screen
score-sourcing-candidates
screen-active-sourcing-candidates
screen-inbound-opportunity</t>
        </is>
      </c>
    </row>
    <row r="4" ht="60" customHeight="1" s="12">
      <c r="A4" s="16">
        <f>HYPERLINK('Link Config'!$B$2&amp;"plugins/vc/alludium/documents/shared/investment-diligence-question-framework.md","Investment Diligence Question Framework")</f>
        <v/>
      </c>
      <c r="B4" s="15" t="inlineStr">
        <is>
          <t>methodology</t>
        </is>
      </c>
      <c r="C4" s="15" t="inlineStr">
        <is>
          <t>vc_deal_room
vc_origination_pipeline
vc_investment_management</t>
        </is>
      </c>
      <c r="D4" s="15" t="inlineStr">
        <is>
          <t>Structured diligence question-bank methodology for converting knowns, unknowns, and risks into workstream questions.</t>
        </is>
      </c>
      <c r="E4" s="15" t="inlineStr">
        <is>
          <t>generate-diligence-questions
run-commercial-dd
run-financial-dd
run-technical-dd</t>
        </is>
      </c>
    </row>
    <row r="5" ht="150" customHeight="1" s="12">
      <c r="A5" s="16">
        <f>HYPERLINK('Link Config'!$B$2&amp;"plugins/vc/alludium/documents/shared/opportunity-evaluation-framework.md","Opportunity Evaluation Framework")</f>
        <v/>
      </c>
      <c r="B5" s="15" t="inlineStr">
        <is>
          <t>methodology</t>
        </is>
      </c>
      <c r="C5" s="15" t="inlineStr">
        <is>
          <t>vc_deal_room</t>
        </is>
      </c>
      <c r="D5" s="15" t="inlineStr">
        <is>
          <t>Evidence-led post-screening opportunity evaluation methodology with scoring, thesis tension, gating risk, and meeting/data-room planning standards.</t>
        </is>
      </c>
      <c r="E5" s="15" t="inlineStr">
        <is>
          <t>create-ic-memo
generate-diligence-questions
prepare-partner-review-pack
prepare-team-review-pack
review-opportunity-status
review-ic-memo
run-follow-up-evaluation
run-team-evaluation
run-financial-evaluation
run-technical-evaluation
run-commercial-evaluation</t>
        </is>
      </c>
    </row>
    <row r="6" ht="150" customHeight="1" s="12">
      <c r="A6" s="16">
        <f>HYPERLINK('Link Config'!$B$2&amp;"plugins/vc/alludium/documents/shared/evaluation-workstream-guide.md","Evaluation Workstream Guide")</f>
        <v/>
      </c>
      <c r="B6" s="15" t="inlineStr">
        <is>
          <t>methodology</t>
        </is>
      </c>
      <c r="C6" s="15" t="inlineStr">
        <is>
          <t>vc_deal_room</t>
        </is>
      </c>
      <c r="D6" s="15" t="inlineStr">
        <is>
          <t>Lightweight commercial, technical, financial, and team evaluation guidance for post-screening work before formal diligence.</t>
        </is>
      </c>
      <c r="E6" s="15" t="inlineStr">
        <is>
          <t>create-ic-memo
generate-diligence-questions
prepare-partner-review-pack
prepare-team-review-pack
review-ic-memo
review-opportunity-status
run-follow-up-evaluation
run-team-evaluation
run-financial-evaluation
run-technical-evaluation
run-commercial-evaluation</t>
        </is>
      </c>
    </row>
    <row r="7" ht="45" customHeight="1" s="12">
      <c r="A7" s="16">
        <f>HYPERLINK('Link Config'!$B$2&amp;"plugins/vc/alludium/documents/deal-room/commercial-evaluation-guide.md","Commercial Evaluation Guide")</f>
        <v/>
      </c>
      <c r="B7" s="15" t="inlineStr">
        <is>
          <t>methodology</t>
        </is>
      </c>
      <c r="C7" s="15" t="inlineStr">
        <is>
          <t>vc_deal_room</t>
        </is>
      </c>
      <c r="D7" s="15" t="inlineStr">
        <is>
          <t>Lightweight commercial evaluation guidance for market, customer, GTM, pricing, and competition hypotheses.</t>
        </is>
      </c>
      <c r="E7" s="15" t="inlineStr">
        <is>
          <t>generate-diligence-questions
run-follow-up-evaluation
run-commercial-evaluation</t>
        </is>
      </c>
    </row>
    <row r="8" ht="45" customHeight="1" s="12">
      <c r="A8" s="16">
        <f>HYPERLINK('Link Config'!$B$2&amp;"plugins/vc/alludium/documents/deal-room/technical-evaluation-guide.md","Technical Evaluation Guide")</f>
        <v/>
      </c>
      <c r="B8" s="15" t="inlineStr">
        <is>
          <t>methodology</t>
        </is>
      </c>
      <c r="C8" s="15" t="inlineStr">
        <is>
          <t>vc_deal_room</t>
        </is>
      </c>
      <c r="D8" s="15" t="inlineStr">
        <is>
          <t>Lightweight technical evaluation guidance for product, architecture, technical edge, IP, data, and roadmap hypotheses.</t>
        </is>
      </c>
      <c r="E8" s="15" t="inlineStr">
        <is>
          <t>generate-diligence-questions
run-follow-up-evaluation
run-technical-evaluation</t>
        </is>
      </c>
    </row>
    <row r="9" ht="45" customHeight="1" s="12">
      <c r="A9" s="16">
        <f>HYPERLINK('Link Config'!$B$2&amp;"plugins/vc/alludium/documents/deal-room/financial-evaluation-guide.md","Financial Evaluation Guide")</f>
        <v/>
      </c>
      <c r="B9" s="15" t="inlineStr">
        <is>
          <t>methodology</t>
        </is>
      </c>
      <c r="C9" s="15" t="inlineStr">
        <is>
          <t>vc_deal_room</t>
        </is>
      </c>
      <c r="D9" s="15" t="inlineStr">
        <is>
          <t>Lightweight financial evaluation guidance for forecast plausibility, burn, runway, use of funds, valuation, ownership, and financing risk.</t>
        </is>
      </c>
      <c r="E9" s="15" t="inlineStr">
        <is>
          <t>generate-diligence-questions
run-follow-up-evaluation
run-financial-evaluation</t>
        </is>
      </c>
    </row>
    <row r="10" ht="150" customHeight="1" s="12">
      <c r="A10" s="16">
        <f>HYPERLINK('Link Config'!$B$2&amp;"plugins/vc/alludium/documents/shared/evidence-citation-style-guide.md","Evidence And Citation Style Guide")</f>
        <v/>
      </c>
      <c r="B10" s="15" t="inlineStr">
        <is>
          <t>style_guide</t>
        </is>
      </c>
      <c r="C10" s="15" t="inlineStr">
        <is>
          <t>vc_deal_room
vc_origination_pipeline
vc_investment_management</t>
        </is>
      </c>
      <c r="D10" s="15" t="inlineStr">
        <is>
          <t>Pack-level style guide for citations, assumptions, source confidence, and claim hygiene across VC documents.</t>
        </is>
      </c>
      <c r="E10" s="15" t="inlineStr">
        <is>
          <t>create-ic-memo
generate-diligence-questions
prepare-partner-review-pack
prepare-sourcing-ic-summary
prepare-team-review-pack
record-ic-decision
run-commercial-dd
run-financial-dd
run-founder-evaluation
run-investment-screen
run-sourcing-pipeline
run-technical-dd
screen-inbound-opportunity
run-commercial-evaluation
run-technical-evaluation
run-financial-evaluation
run-team-evaluation</t>
        </is>
      </c>
    </row>
    <row r="11" ht="150" customHeight="1" s="12">
      <c r="A11" s="16">
        <f>HYPERLINK('Link Config'!$B$2&amp;"plugins/vc/alludium/documents/shared/template-use-guidance.md","Template Use Guidance")</f>
        <v/>
      </c>
      <c r="B11" s="15" t="inlineStr">
        <is>
          <t>sop</t>
        </is>
      </c>
      <c r="C11" s="15" t="inlineStr">
        <is>
          <t>vc_deal_room
vc_origination_pipeline
vc_investment_management</t>
        </is>
      </c>
      <c r="D11" s="15" t="inlineStr">
        <is>
          <t>Operating guidance for applying VC document templates as adaptable scaffolds without producing generic filler.</t>
        </is>
      </c>
      <c r="E11" s="15" t="inlineStr">
        <is>
          <t>audit-linkedin-query-spend
configure-origination-pipeline
create-ic-memo
generate-diligence-questions
generate-sourcing-digest
manage-closing-checklist
prepare-ic-agenda
prepare-initial-call
prepare-lead-gen-packet
prepare-outreach-draft-queue
prepare-partner-review-pack
prepare-portfolio-onboarding
prepare-sourcing-ic-summary
prepare-team-review-pack
promote-candidate-to-deal-room
record-ic-decision
request-founder-materials
review-ic-memo
review-source-errors-and-spend
review-term-sheet
run-commercial-dd
run-financial-dd
run-follow-up-evaluation
run-team-evaluation
run-financial-evaluation
run-technical-evaluation
run-commercial-evaluation
run-founder-evaluation
run-investment-screen
run-sourcing-pipeline
run-technical-dd
score-sourcing-candidates
screen-active-sourcing-candidates
screen-inbound-opportunity
source-thesis-targets
summarize-initial-call
verify-conditions-precedent</t>
        </is>
      </c>
    </row>
    <row r="12" ht="45" customHeight="1" s="12">
      <c r="A12" s="16">
        <f>HYPERLINK('Link Config'!$B$2&amp;"plugins/vc/alludium/documents/shared/file-naming-source-index-sop.md","File Naming And Source Index SOP")</f>
        <v/>
      </c>
      <c r="B12" s="15" t="inlineStr">
        <is>
          <t>sop</t>
        </is>
      </c>
      <c r="C12" s="15" t="inlineStr">
        <is>
          <t>vc_deal_room
vc_origination_pipeline
vc_investment_management</t>
        </is>
      </c>
      <c r="D12" s="15" t="inlineStr">
        <is>
          <t>Operating convention for naming files, tracking source provenance, and maintaining a compact source index.</t>
        </is>
      </c>
      <c r="E12" s="15" t="inlineStr">
        <is>
          <t>request-founder-materials
run-sourcing-pipeline
sync-sourcing-candidates</t>
        </is>
      </c>
    </row>
    <row r="13" ht="45" customHeight="1" s="12">
      <c r="A13" s="16">
        <f>HYPERLINK('Link Config'!$B$2&amp;"plugins/vc/alludium/documents/deal-room/deal-room-sop.md","Deal Pipeline Operating SOP")</f>
        <v/>
      </c>
      <c r="B13" s="15" t="inlineStr">
        <is>
          <t>sop</t>
        </is>
      </c>
      <c r="C13" s="15" t="inlineStr">
        <is>
          <t>vc_deal_room</t>
        </is>
      </c>
      <c r="D13" s="15" t="inlineStr">
        <is>
          <t>End-to-end Deal Pipeline operating method from intake through closing and portfolio handoff.</t>
        </is>
      </c>
      <c r="E13" s="15" t="inlineStr">
        <is>
          <t>prepare-partner-review-pack
prepare-team-review-pack
review-opportunity-status</t>
        </is>
      </c>
    </row>
    <row r="14" ht="18" customHeight="1" s="12">
      <c r="A14" s="16">
        <f>HYPERLINK('Link Config'!$B$2&amp;"plugins/vc/alludium/documents/deal-room/founder-materials-request-template.md","Founder Materials Request Template")</f>
        <v/>
      </c>
      <c r="B14" s="15" t="inlineStr">
        <is>
          <t>template</t>
        </is>
      </c>
      <c r="C14" s="15" t="inlineStr">
        <is>
          <t>vc_deal_room</t>
        </is>
      </c>
      <c r="D14" s="15" t="inlineStr">
        <is>
          <t>Reusable founder request template for source materials, financials, customer evidence, technical context, and legal basics.</t>
        </is>
      </c>
      <c r="E14" s="15" t="inlineStr">
        <is>
          <t>request-founder-materials</t>
        </is>
      </c>
    </row>
    <row r="15" ht="18" customHeight="1" s="12">
      <c r="A15" s="16">
        <f>HYPERLINK('Link Config'!$B$2&amp;"plugins/vc/alludium/documents/deal-room/thesis-target-list-template.md","Thesis Target List Template")</f>
        <v/>
      </c>
      <c r="B15" s="15" t="inlineStr">
        <is>
          <t>template</t>
        </is>
      </c>
      <c r="C15" s="15" t="inlineStr">
        <is>
          <t>vc_origination_pipeline</t>
        </is>
      </c>
      <c r="D15" s="15" t="inlineStr">
        <is>
          <t>Reusable target-list format for thesis-led sourcing and warm-intro planning.</t>
        </is>
      </c>
      <c r="E15" s="15" t="inlineStr">
        <is>
          <t>source-thesis-targets</t>
        </is>
      </c>
    </row>
    <row r="16" ht="18" customHeight="1" s="12">
      <c r="A16" s="16">
        <f>HYPERLINK('Link Config'!$B$2&amp;"plugins/vc/alludium/documents/deal-room/lead-generation-packet-template.md","Lead Generation Packet Template")</f>
        <v/>
      </c>
      <c r="B16" s="15" t="inlineStr">
        <is>
          <t>template</t>
        </is>
      </c>
      <c r="C16" s="15" t="inlineStr">
        <is>
          <t>vc_origination_pipeline</t>
        </is>
      </c>
      <c r="D16" s="15" t="inlineStr">
        <is>
          <t>Reusable management-level packet for thesis-led lead generation reviews.</t>
        </is>
      </c>
      <c r="E16" s="15" t="inlineStr">
        <is>
          <t>prepare-lead-gen-packet</t>
        </is>
      </c>
    </row>
    <row r="17" ht="18" customHeight="1" s="12">
      <c r="A17" s="16">
        <f>HYPERLINK('Link Config'!$B$2&amp;"plugins/vc/alludium/documents/deal-room/initial-call-brief-template.md","Initial Call Brief Template")</f>
        <v/>
      </c>
      <c r="B17" s="15" t="inlineStr">
        <is>
          <t>template</t>
        </is>
      </c>
      <c r="C17" s="15" t="inlineStr">
        <is>
          <t>vc_deal_room</t>
        </is>
      </c>
      <c r="D17" s="15" t="inlineStr">
        <is>
          <t>Reusable pre-call brief for first founder or management meetings.</t>
        </is>
      </c>
      <c r="E17" s="15" t="inlineStr">
        <is>
          <t>prepare-initial-call</t>
        </is>
      </c>
    </row>
    <row r="18" ht="18" customHeight="1" s="12">
      <c r="A18" s="16">
        <f>HYPERLINK('Link Config'!$B$2&amp;"plugins/vc/alludium/documents/deal-room/customer-insights-summary-template.md","Customer Insights Summary Template")</f>
        <v/>
      </c>
      <c r="B18" s="15" t="inlineStr">
        <is>
          <t>template</t>
        </is>
      </c>
      <c r="C18" s="15" t="inlineStr">
        <is>
          <t>vc_deal_room</t>
        </is>
      </c>
      <c r="D18" s="15" t="inlineStr">
        <is>
          <t>Reusable meeting-record summary for customer, founder, and diligence call evidence.</t>
        </is>
      </c>
      <c r="E18" s="15" t="inlineStr">
        <is>
          <t>summarize-initial-call</t>
        </is>
      </c>
    </row>
    <row r="19" ht="18" customHeight="1" s="12">
      <c r="A19" s="16">
        <f>HYPERLINK('Link Config'!$B$2&amp;"plugins/vc/alludium/documents/deal-room/follow-up-evaluation-template.md","Opportunity Evaluation Template")</f>
        <v/>
      </c>
      <c r="B19" s="15" t="inlineStr">
        <is>
          <t>template</t>
        </is>
      </c>
      <c r="C19" s="15" t="inlineStr">
        <is>
          <t>vc_deal_room</t>
        </is>
      </c>
      <c r="D19" s="15" t="inlineStr">
        <is>
          <t>Reusable deeper opportunity evaluation after investment screening and early evidence collection.</t>
        </is>
      </c>
      <c r="E19" s="15" t="inlineStr">
        <is>
          <t>run-follow-up-evaluation</t>
        </is>
      </c>
    </row>
    <row r="20" ht="18" customHeight="1" s="12">
      <c r="A20" s="16">
        <f>HYPERLINK('Link Config'!$B$2&amp;"plugins/vc/alludium/documents/deal-room/team-evaluation-template.md","Team Evaluation Template")</f>
        <v/>
      </c>
      <c r="B20" s="15" t="inlineStr">
        <is>
          <t>template</t>
        </is>
      </c>
      <c r="C20" s="15" t="inlineStr">
        <is>
          <t>vc_deal_room</t>
        </is>
      </c>
      <c r="D20" s="15" t="inlineStr">
        <is>
          <t>Output template for lightweight team and founder evaluation before formal diligence.</t>
        </is>
      </c>
      <c r="E20" s="15" t="inlineStr">
        <is>
          <t>run-team-evaluation</t>
        </is>
      </c>
    </row>
    <row r="21" ht="18" customHeight="1" s="12">
      <c r="A21" s="16">
        <f>HYPERLINK('Link Config'!$B$2&amp;"plugins/vc/alludium/documents/deal-room/financial-evaluation-template.md","Financial Evaluation Template")</f>
        <v/>
      </c>
      <c r="B21" s="15" t="inlineStr">
        <is>
          <t>template</t>
        </is>
      </c>
      <c r="C21" s="15" t="inlineStr">
        <is>
          <t>vc_deal_room</t>
        </is>
      </c>
      <c r="D21" s="15" t="inlineStr">
        <is>
          <t>Output template for lightweight financial and financing evaluation before formal diligence.</t>
        </is>
      </c>
      <c r="E21" s="15" t="inlineStr">
        <is>
          <t>run-financial-evaluation</t>
        </is>
      </c>
    </row>
    <row r="22" ht="18" customHeight="1" s="12">
      <c r="A22" s="16">
        <f>HYPERLINK('Link Config'!$B$2&amp;"plugins/vc/alludium/documents/deal-room/technical-evaluation-template.md","Technical Evaluation Template")</f>
        <v/>
      </c>
      <c r="B22" s="15" t="inlineStr">
        <is>
          <t>template</t>
        </is>
      </c>
      <c r="C22" s="15" t="inlineStr">
        <is>
          <t>vc_deal_room</t>
        </is>
      </c>
      <c r="D22" s="15" t="inlineStr">
        <is>
          <t>Output template for lightweight technical and product evaluation before formal diligence.</t>
        </is>
      </c>
      <c r="E22" s="15" t="inlineStr">
        <is>
          <t>run-technical-evaluation</t>
        </is>
      </c>
    </row>
    <row r="23" ht="18" customHeight="1" s="12">
      <c r="A23" s="16">
        <f>HYPERLINK('Link Config'!$B$2&amp;"plugins/vc/alludium/documents/deal-room/commercial-evaluation-template.md","Commercial Evaluation Template")</f>
        <v/>
      </c>
      <c r="B23" s="15" t="inlineStr">
        <is>
          <t>template</t>
        </is>
      </c>
      <c r="C23" s="15" t="inlineStr">
        <is>
          <t>vc_deal_room</t>
        </is>
      </c>
      <c r="D23" s="15" t="inlineStr">
        <is>
          <t>Output template for lightweight commercial evaluation before formal diligence.</t>
        </is>
      </c>
      <c r="E23" s="15" t="inlineStr">
        <is>
          <t>run-commercial-evaluation</t>
        </is>
      </c>
    </row>
    <row r="24" ht="30" customHeight="1" s="12">
      <c r="A24" s="16">
        <f>HYPERLINK('Link Config'!$B$2&amp;"plugins/vc/alludium/documents/deal-room/investment-memo-template.md","Investment Memo Template")</f>
        <v/>
      </c>
      <c r="B24" s="15" t="inlineStr">
        <is>
          <t>template</t>
        </is>
      </c>
      <c r="C24" s="15" t="inlineStr">
        <is>
          <t>vc_deal_room</t>
        </is>
      </c>
      <c r="D24" s="15" t="inlineStr">
        <is>
          <t>Reusable IC investment memo structure with thesis, evidence, risks, valuation, diligence, and decision ask.</t>
        </is>
      </c>
      <c r="E24" s="15" t="inlineStr">
        <is>
          <t>create-ic-memo
review-ic-memo</t>
        </is>
      </c>
    </row>
    <row r="25" ht="18" customHeight="1" s="12">
      <c r="A25" s="16">
        <f>HYPERLINK('Link Config'!$B$2&amp;"plugins/vc/alludium/documents/deal-room/ic-agenda-template.md","IC Agenda Template")</f>
        <v/>
      </c>
      <c r="B25" s="15" t="inlineStr">
        <is>
          <t>template</t>
        </is>
      </c>
      <c r="C25" s="15" t="inlineStr">
        <is>
          <t>vc_deal_room</t>
        </is>
      </c>
      <c r="D25" s="15" t="inlineStr">
        <is>
          <t>Reusable investment committee agenda for sequencing discussion, open questions, decision items, and pre-reads.</t>
        </is>
      </c>
      <c r="E25" s="15" t="inlineStr">
        <is>
          <t>prepare-ic-agenda</t>
        </is>
      </c>
    </row>
    <row r="26" ht="18" customHeight="1" s="12">
      <c r="A26" s="16">
        <f>HYPERLINK('Link Config'!$B$2&amp;"plugins/vc/alludium/documents/deal-room/ic-decision-record-template.md","IC Decision Record Template")</f>
        <v/>
      </c>
      <c r="B26" s="15" t="inlineStr">
        <is>
          <t>template</t>
        </is>
      </c>
      <c r="C26" s="15" t="inlineStr">
        <is>
          <t>vc_deal_room</t>
        </is>
      </c>
      <c r="D26" s="15" t="inlineStr">
        <is>
          <t>Reusable decision record for approvals, conditions, dissent, follow-ups, and evidence references.</t>
        </is>
      </c>
      <c r="E26" s="15" t="inlineStr">
        <is>
          <t>record-ic-decision</t>
        </is>
      </c>
    </row>
    <row r="27" ht="60" customHeight="1" s="12">
      <c r="A27" s="16">
        <f>HYPERLINK('Link Config'!$B$2&amp;"plugins/vc/alludium/documents/deal-room/diligence-report-template.md","Diligence Report Template")</f>
        <v/>
      </c>
      <c r="B27" s="15" t="inlineStr">
        <is>
          <t>template</t>
        </is>
      </c>
      <c r="C27" s="15" t="inlineStr">
        <is>
          <t>vc_investment_management</t>
        </is>
      </c>
      <c r="D27" s="15" t="inlineStr">
        <is>
          <t>Reusable diligence report structure for commercial, technical, financial, founder, and legal workstreams.</t>
        </is>
      </c>
      <c r="E27" s="15" t="inlineStr">
        <is>
          <t>run-commercial-dd
run-financial-dd
run-founder-evaluation
run-technical-dd</t>
        </is>
      </c>
    </row>
    <row r="28" ht="150" customHeight="1" s="12">
      <c r="A28" s="16">
        <f>HYPERLINK('Link Config'!$B$2&amp;"plugins/vc/alludium/documents/deal-room/formal-diligence-workstream-guide.md","Formal Diligence Workstream Guide")</f>
        <v/>
      </c>
      <c r="B28" s="15" t="inlineStr">
        <is>
          <t>methodology</t>
        </is>
      </c>
      <c r="C28" s="15" t="inlineStr">
        <is>
          <t>vc_deal_room
vc_investment_management</t>
        </is>
      </c>
      <c r="D28" s="15" t="inlineStr">
        <is>
          <t>Verification-oriented diligence workstream methodology for commercial, financial, technical, founder/team, legal, market, terms, and exit review.</t>
        </is>
      </c>
      <c r="E28" s="15" t="inlineStr">
        <is>
          <t>create-ic-memo
generate-diligence-questions
prepare-partner-review-pack
prepare-team-review-pack
review-ic-memo
run-commercial-dd
run-financial-dd
run-founder-evaluation
run-legal-diligence
run-technical-dd</t>
        </is>
      </c>
    </row>
    <row r="29" ht="150" customHeight="1" s="12">
      <c r="A29" s="16">
        <f>HYPERLINK('Link Config'!$B$2&amp;"plugins/vc/alludium/documents/deal-room/formal-diligence-checklist.md","Formal Diligence Checklist")</f>
        <v/>
      </c>
      <c r="B29" s="15" t="inlineStr">
        <is>
          <t>checklist</t>
        </is>
      </c>
      <c r="C29" s="15" t="inlineStr">
        <is>
          <t>vc_deal_room
vc_investment_management</t>
        </is>
      </c>
      <c r="D29" s="15" t="inlineStr">
        <is>
          <t>Full formal diligence checklist covering leadership, technical, commercial, market, financial, legal, deal-terms, exit, and company-structure workstreams.</t>
        </is>
      </c>
      <c r="E29" s="15" t="inlineStr">
        <is>
          <t>create-ic-memo
generate-diligence-questions
prepare-partner-review-pack
prepare-team-review-pack
review-ic-memo
run-commercial-dd
run-financial-dd
run-founder-evaluation
run-legal-diligence
run-technical-dd</t>
        </is>
      </c>
    </row>
    <row r="30" ht="30" customHeight="1" s="12">
      <c r="A30" s="16">
        <f>HYPERLINK('Link Config'!$B$2&amp;"plugins/vc/alludium/documents/deal-room/review-pack-checklist.md","Review Pack Checklist")</f>
        <v/>
      </c>
      <c r="B30" s="15" t="inlineStr">
        <is>
          <t>checklist</t>
        </is>
      </c>
      <c r="C30" s="15" t="inlineStr">
        <is>
          <t>vc_deal_room</t>
        </is>
      </c>
      <c r="D30" s="15" t="inlineStr">
        <is>
          <t>Checklist for team review and partner review packs before escalation to IC materials.</t>
        </is>
      </c>
      <c r="E30" s="15" t="inlineStr">
        <is>
          <t>prepare-partner-review-pack
prepare-team-review-pack</t>
        </is>
      </c>
    </row>
    <row r="31" ht="18" customHeight="1" s="12">
      <c r="A31" s="16">
        <f>HYPERLINK('Link Config'!$B$2&amp;"plugins/vc/alludium/documents/deal-room/ic-memo-review-template.md","IC Memo Review Template")</f>
        <v/>
      </c>
      <c r="B31" s="15" t="inlineStr">
        <is>
          <t>template</t>
        </is>
      </c>
      <c r="C31" s="15" t="inlineStr">
        <is>
          <t>vc_deal_room</t>
        </is>
      </c>
      <c r="D31" s="15" t="inlineStr">
        <is>
          <t>Reusable review format for checking IC memo readiness, gaps, and required changes.</t>
        </is>
      </c>
      <c r="E31" s="15" t="inlineStr">
        <is>
          <t>review-ic-memo</t>
        </is>
      </c>
    </row>
    <row r="32" ht="18" customHeight="1" s="12">
      <c r="A32" s="16">
        <f>HYPERLINK('Link Config'!$B$2&amp;"plugins/vc/alludium/documents/deal-room/deal-terms-analysis-template.md","Deal Terms Analysis Template")</f>
        <v/>
      </c>
      <c r="B32" s="15" t="inlineStr">
        <is>
          <t>template</t>
        </is>
      </c>
      <c r="C32" s="15" t="inlineStr">
        <is>
          <t>vc_deal_room</t>
        </is>
      </c>
      <c r="D32" s="15" t="inlineStr">
        <is>
          <t>Reusable commercial review format for valuation, ownership, dilution, ESOP, and round construction analysis.</t>
        </is>
      </c>
      <c r="E32" s="15" t="inlineStr">
        <is>
          <t>analyze-deal-terms</t>
        </is>
      </c>
    </row>
    <row r="33" ht="18" customHeight="1" s="12">
      <c r="A33" s="16">
        <f>HYPERLINK('Link Config'!$B$2&amp;"plugins/vc/alludium/documents/deal-room/term-sheet-negotiation-brief-template.md","Term Sheet Negotiation Brief Template")</f>
        <v/>
      </c>
      <c r="B33" s="15" t="inlineStr">
        <is>
          <t>template</t>
        </is>
      </c>
      <c r="C33" s="15" t="inlineStr">
        <is>
          <t>vc_deal_room</t>
        </is>
      </c>
      <c r="D33" s="15" t="inlineStr">
        <is>
          <t>Reusable internal brief for open terms, give/get options, counsel questions, and approval points.</t>
        </is>
      </c>
      <c r="E33" s="15" t="inlineStr">
        <is>
          <t>track-term-sheet-negotiation</t>
        </is>
      </c>
    </row>
    <row r="34" ht="18" customHeight="1" s="12">
      <c r="A34" s="16">
        <f>HYPERLINK('Link Config'!$B$2&amp;"plugins/vc/alludium/documents/deal-room/term-sheet-review-template.md","Term Sheet Review Template")</f>
        <v/>
      </c>
      <c r="B34" s="15" t="inlineStr">
        <is>
          <t>template</t>
        </is>
      </c>
      <c r="C34" s="15" t="inlineStr">
        <is>
          <t>vc_deal_room</t>
        </is>
      </c>
      <c r="D34" s="15" t="inlineStr">
        <is>
          <t>Reusable business review format for term-sheet deviations, red flags, and counsel questions.</t>
        </is>
      </c>
      <c r="E34" s="15" t="inlineStr">
        <is>
          <t>review-term-sheet</t>
        </is>
      </c>
    </row>
    <row r="35" ht="18" customHeight="1" s="12">
      <c r="A35" s="16">
        <f>HYPERLINK('Link Config'!$B$2&amp;"plugins/vc/alludium/documents/deal-room/legal-diligence-tracker-template.md","Legal Diligence Tracker Template")</f>
        <v/>
      </c>
      <c r="B35" s="15" t="inlineStr">
        <is>
          <t>template</t>
        </is>
      </c>
      <c r="C35" s="15" t="inlineStr">
        <is>
          <t>vc_investment_management</t>
        </is>
      </c>
      <c r="D35" s="15" t="inlineStr">
        <is>
          <t>Reusable tracker for legal document indexing, issue registers, counsel questions, and showstopper-risk review support.</t>
        </is>
      </c>
      <c r="E35" s="15" t="inlineStr">
        <is>
          <t>run-legal-diligence</t>
        </is>
      </c>
    </row>
    <row r="36" ht="60" customHeight="1" s="12">
      <c r="A36" s="16">
        <f>HYPERLINK('Link Config'!$B$2&amp;"plugins/vc/alludium/documents/deal-room/legal-diligence-guide.md","Legal Diligence Guide")</f>
        <v/>
      </c>
      <c r="B36" s="15" t="inlineStr">
        <is>
          <t>methodology</t>
        </is>
      </c>
      <c r="C36" s="15" t="inlineStr">
        <is>
          <t>vc_investment_management</t>
        </is>
      </c>
      <c r="D36" s="15" t="inlineStr">
        <is>
          <t>Legal diligence guidance for document indexing, issue tracking, counsel questions, and legal-risk escalation without legal advice.</t>
        </is>
      </c>
      <c r="E36" s="15" t="inlineStr">
        <is>
          <t>run-legal-diligence
review-investment-documents
manage-closing-checklist
verify-conditions-precedent</t>
        </is>
      </c>
    </row>
    <row r="37" ht="18" customHeight="1" s="12">
      <c r="A37" s="16">
        <f>HYPERLINK('Link Config'!$B$2&amp;"plugins/vc/alludium/documents/deal-room/investment-document-review-template.md","Investment Document Review Template")</f>
        <v/>
      </c>
      <c r="B37" s="15" t="inlineStr">
        <is>
          <t>template</t>
        </is>
      </c>
      <c r="C37" s="15" t="inlineStr">
        <is>
          <t>vc_investment_management</t>
        </is>
      </c>
      <c r="D37" s="15" t="inlineStr">
        <is>
          <t>Reusable review-support format for mapping investment documents back to approved terms and open counsel issues.</t>
        </is>
      </c>
      <c r="E37" s="15" t="inlineStr">
        <is>
          <t>review-investment-documents</t>
        </is>
      </c>
    </row>
    <row r="38" ht="18" customHeight="1" s="12">
      <c r="A38" s="16">
        <f>HYPERLINK('Link Config'!$B$2&amp;"plugins/vc/alludium/documents/deal-room/closing-checklist.md","Closing Checklist")</f>
        <v/>
      </c>
      <c r="B38" s="15" t="inlineStr">
        <is>
          <t>checklist</t>
        </is>
      </c>
      <c r="C38" s="15" t="inlineStr">
        <is>
          <t>vc_investment_management</t>
        </is>
      </c>
      <c r="D38" s="15" t="inlineStr">
        <is>
          <t>Checklist for legal, finance, operational, and onboarding readiness before signing and completion.</t>
        </is>
      </c>
      <c r="E38" s="15" t="inlineStr">
        <is>
          <t>manage-closing-checklist</t>
        </is>
      </c>
    </row>
    <row r="39" ht="18" customHeight="1" s="12">
      <c r="A39" s="16">
        <f>HYPERLINK('Link Config'!$B$2&amp;"plugins/vc/alludium/documents/deal-room/conditions-precedent-tracker-template.md","Conditions Precedent Tracker Template")</f>
        <v/>
      </c>
      <c r="B39" s="15" t="inlineStr">
        <is>
          <t>template</t>
        </is>
      </c>
      <c r="C39" s="15" t="inlineStr">
        <is>
          <t>vc_investment_management</t>
        </is>
      </c>
      <c r="D39" s="15" t="inlineStr">
        <is>
          <t>Reusable tracker for condition, owner, evidence, blocker, counsel review, and completion status.</t>
        </is>
      </c>
      <c r="E39" s="15" t="inlineStr">
        <is>
          <t>verify-conditions-precedent</t>
        </is>
      </c>
    </row>
    <row r="40" ht="18" customHeight="1" s="12">
      <c r="A40" s="16">
        <f>HYPERLINK('Link Config'!$B$2&amp;"plugins/vc/alludium/documents/deal-room/completion-tracker-template.md","Completion Tracker Template")</f>
        <v/>
      </c>
      <c r="B40" s="15" t="inlineStr">
        <is>
          <t>template</t>
        </is>
      </c>
      <c r="C40" s="15" t="inlineStr">
        <is>
          <t>vc_investment_management</t>
        </is>
      </c>
      <c r="D40" s="15" t="inlineStr">
        <is>
          <t>Reusable tracker for capital call status, funds transfer readiness, completion evidence, and portfolio handoff triggers.</t>
        </is>
      </c>
      <c r="E40" s="15" t="inlineStr">
        <is>
          <t>coordinate-capital-call-and-completion</t>
        </is>
      </c>
    </row>
    <row r="41" ht="18" customHeight="1" s="12">
      <c r="A41" s="16">
        <f>HYPERLINK('Link Config'!$B$2&amp;"plugins/vc/alludium/documents/deal-room/portfolio-onboarding-plan-template.md","Portfolio Onboarding Plan Template")</f>
        <v/>
      </c>
      <c r="B41" s="15" t="inlineStr">
        <is>
          <t>template</t>
        </is>
      </c>
      <c r="C41" s="15" t="inlineStr">
        <is>
          <t>vc_investment_management</t>
        </is>
      </c>
      <c r="D41" s="15" t="inlineStr">
        <is>
          <t>Reusable post-close onboarding plan covering owners, first 100 days, reporting, board setup, and operating cadence.</t>
        </is>
      </c>
      <c r="E41" s="15" t="inlineStr">
        <is>
          <t>prepare-portfolio-onboarding</t>
        </is>
      </c>
    </row>
    <row r="42" ht="45" customHeight="1" s="12">
      <c r="A42" s="16">
        <f>HYPERLINK('Link Config'!$B$2&amp;"plugins/vc/alludium/documents/origination/origination-pipeline-sop.md","Origination Pipeline Operating SOP")</f>
        <v/>
      </c>
      <c r="B42" s="15" t="inlineStr">
        <is>
          <t>sop</t>
        </is>
      </c>
      <c r="C42" s="15" t="inlineStr">
        <is>
          <t>vc_origination_pipeline</t>
        </is>
      </c>
      <c r="D42" s="15" t="inlineStr">
        <is>
          <t>Operating method for standing venture sourcing pipelines from source configuration through promotion packages.</t>
        </is>
      </c>
      <c r="E42" s="15" t="inlineStr">
        <is>
          <t>configure-origination-pipeline
promote-candidate-to-deal-room
run-sourcing-pipeline</t>
        </is>
      </c>
    </row>
    <row r="43" ht="120" customHeight="1" s="12">
      <c r="A43" s="16">
        <f>HYPERLINK('Link Config'!$B$2&amp;"plugins/vc/alludium/documents/origination/origination-source-strategy-guide.md","Origination Source Strategy Guide")</f>
        <v/>
      </c>
      <c r="B43" s="15" t="inlineStr">
        <is>
          <t>methodology</t>
        </is>
      </c>
      <c r="C43" s="15" t="inlineStr">
        <is>
          <t>vc_deal_room
vc_origination_pipeline</t>
        </is>
      </c>
      <c r="D43" s="15" t="inlineStr">
        <is>
          <t>Source strategy, source provenance, source quality, and promotion-readiness methodology for venture origination pipelines.</t>
        </is>
      </c>
      <c r="E43" s="15" t="inlineStr">
        <is>
          <t>configure-origination-pipeline
prepare-lead-gen-packet
prepare-sourcing-ic-summary
promote-candidate-to-deal-room
run-sourcing-pipeline
score-sourcing-candidates
screen-active-sourcing-candidates
source-thesis-targets</t>
        </is>
      </c>
    </row>
    <row r="44" ht="30" customHeight="1" s="12">
      <c r="A44" s="16">
        <f>HYPERLINK('Link Config'!$B$2&amp;"plugins/vc/alludium/documents/origination/source-registry-template.md","Source Registry Template")</f>
        <v/>
      </c>
      <c r="B44" s="15" t="inlineStr">
        <is>
          <t>template</t>
        </is>
      </c>
      <c r="C44" s="15" t="inlineStr">
        <is>
          <t>vc_origination_pipeline</t>
        </is>
      </c>
      <c r="D44" s="15" t="inlineStr">
        <is>
          <t>Reusable registry for source keys, scopes, owners, credential state, budgets, cadence, and review policy.</t>
        </is>
      </c>
      <c r="E44" s="15" t="inlineStr">
        <is>
          <t>configure-origination-pipeline
run-sourcing-pipeline</t>
        </is>
      </c>
    </row>
    <row r="45" ht="45" customHeight="1" s="12">
      <c r="A45" s="16">
        <f>HYPERLINK('Link Config'!$B$2&amp;"plugins/vc/alludium/documents/origination/candidate-batch-template.md","Candidate Batch Template")</f>
        <v/>
      </c>
      <c r="B45" s="15" t="inlineStr">
        <is>
          <t>template</t>
        </is>
      </c>
      <c r="C45" s="15" t="inlineStr">
        <is>
          <t>vc_origination_pipeline</t>
        </is>
      </c>
      <c r="D45" s="15" t="inlineStr">
        <is>
          <t>Reusable batch review template for sourced companies, evidence, dedupe state, fit scores, and next actions.</t>
        </is>
      </c>
      <c r="E45" s="15" t="inlineStr">
        <is>
          <t>enrich-sourcing-candidates
run-sourcing-pipeline
score-sourcing-candidates</t>
        </is>
      </c>
    </row>
    <row r="46" ht="30" customHeight="1" s="12">
      <c r="A46" s="16">
        <f>HYPERLINK('Link Config'!$B$2&amp;"plugins/vc/alludium/documents/origination/sourcing-scoring-rubric.md","Sourcing Scoring Rubric")</f>
        <v/>
      </c>
      <c r="B46" s="15" t="inlineStr">
        <is>
          <t>methodology</t>
        </is>
      </c>
      <c r="C46" s="15" t="inlineStr">
        <is>
          <t>vc_origination_pipeline</t>
        </is>
      </c>
      <c r="D46" s="15" t="inlineStr">
        <is>
          <t>Reusable scoring rubric for sourced candidate fit, evidence quality, novelty, timing, and promotion readiness.</t>
        </is>
      </c>
      <c r="E46" s="15" t="inlineStr">
        <is>
          <t>score-sourcing-candidates
screen-active-sourcing-candidates</t>
        </is>
      </c>
    </row>
    <row r="47" ht="18" customHeight="1" s="12">
      <c r="A47" s="16">
        <f>HYPERLINK('Link Config'!$B$2&amp;"plugins/vc/alludium/documents/origination/source-health-review-checklist.md","Source Health Review Checklist")</f>
        <v/>
      </c>
      <c r="B47" s="15" t="inlineStr">
        <is>
          <t>checklist</t>
        </is>
      </c>
      <c r="C47" s="15" t="inlineStr">
        <is>
          <t>vc_origination_pipeline</t>
        </is>
      </c>
      <c r="D47" s="15" t="inlineStr">
        <is>
          <t>Checklist for reviewing source freshness, error rates, coverage drift, duplication, and review queue quality.</t>
        </is>
      </c>
      <c r="E47" s="15" t="inlineStr">
        <is>
          <t>review-source-errors-and-spend</t>
        </is>
      </c>
    </row>
    <row r="48" ht="30" customHeight="1" s="12">
      <c r="A48" s="16">
        <f>HYPERLINK('Link Config'!$B$2&amp;"plugins/vc/alludium/documents/origination/paid-source-spend-audit-checklist.md","Paid Source Spend Audit Checklist")</f>
        <v/>
      </c>
      <c r="B48" s="15" t="inlineStr">
        <is>
          <t>checklist</t>
        </is>
      </c>
      <c r="C48" s="15" t="inlineStr">
        <is>
          <t>vc_origination_pipeline</t>
        </is>
      </c>
      <c r="D48" s="15" t="inlineStr">
        <is>
          <t>Checklist for paid-source budgets, query cost, usage spikes, result quality, and disabled-source policy.</t>
        </is>
      </c>
      <c r="E48" s="15" t="inlineStr">
        <is>
          <t>audit-linkedin-query-spend
review-source-errors-and-spend</t>
        </is>
      </c>
    </row>
    <row r="49" ht="18" customHeight="1" s="12">
      <c r="A49" s="16">
        <f>HYPERLINK('Link Config'!$B$2&amp;"plugins/vc/alludium/documents/origination/sourcing-digest-template.md","Sourcing Digest Template")</f>
        <v/>
      </c>
      <c r="B49" s="15" t="inlineStr">
        <is>
          <t>template</t>
        </is>
      </c>
      <c r="C49" s="15" t="inlineStr">
        <is>
          <t>vc_origination_pipeline</t>
        </is>
      </c>
      <c r="D49" s="15" t="inlineStr">
        <is>
          <t>Reusable sourcing digest format for new candidates, changes, source performance, decisions, and follow-ups.</t>
        </is>
      </c>
      <c r="E49" s="15" t="inlineStr">
        <is>
          <t>generate-sourcing-digest</t>
        </is>
      </c>
    </row>
    <row r="50" ht="18" customHeight="1" s="12">
      <c r="A50" s="16">
        <f>HYPERLINK('Link Config'!$B$2&amp;"plugins/vc/alludium/documents/origination/outreach-queue-template.md","Outreach Queue Template")</f>
        <v/>
      </c>
      <c r="B50" s="15" t="inlineStr">
        <is>
          <t>template</t>
        </is>
      </c>
      <c r="C50" s="15" t="inlineStr">
        <is>
          <t>vc_origination_pipeline</t>
        </is>
      </c>
      <c r="D50" s="15" t="inlineStr">
        <is>
          <t>Reusable outreach queue template for candidate priority, reason to reach out, channel, owner, and draft status.</t>
        </is>
      </c>
      <c r="E50" s="15" t="inlineStr">
        <is>
          <t>prepare-outreach-draft-queue</t>
        </is>
      </c>
    </row>
    <row r="51" ht="30" customHeight="1" s="12">
      <c r="A51" s="16">
        <f>HYPERLINK('Link Config'!$B$2&amp;"plugins/vc/alludium/documents/origination/promotion-package-template.md","Promotion Package Template")</f>
        <v/>
      </c>
      <c r="B51" s="15" t="inlineStr">
        <is>
          <t>template</t>
        </is>
      </c>
      <c r="C51" s="15" t="inlineStr">
        <is>
          <t>vc_origination_pipeline</t>
        </is>
      </c>
      <c r="D51" s="15" t="inlineStr">
        <is>
          <t>Reusable promotion package for turning a sourced candidate into a Deal Pipeline creation or update recommendation.</t>
        </is>
      </c>
      <c r="E51" s="15" t="inlineStr">
        <is>
          <t>prepare-sourcing-ic-summary
promote-candidate-to-deal-room</t>
        </is>
      </c>
    </row>
    <row r="52" ht="18" customHeight="1" s="12">
      <c r="A52" s="16">
        <f>HYPERLINK('Link Config'!$B$2&amp;"plugins/vc/alludium/documents/origination/sourcing-ic-summary-template.md","Prospect Summary Template")</f>
        <v/>
      </c>
      <c r="B52" s="15" t="inlineStr">
        <is>
          <t>template</t>
        </is>
      </c>
      <c r="C52" s="15" t="inlineStr">
        <is>
          <t>vc_origination_pipeline</t>
        </is>
      </c>
      <c r="D52" s="15" t="inlineStr">
        <is>
          <t>Reusable prospect-level sourcing summary for one prioritized candidate before outreach or Deal Pipeline promotion.</t>
        </is>
      </c>
      <c r="E52" s="15" t="inlineStr">
        <is>
          <t>prepare-sourcing-ic-summary</t>
        </is>
      </c>
    </row>
    <row r="53" ht="18" customHeight="1" s="12">
      <c r="A53" s="16">
        <f>HYPERLINK('Link Config'!$B$2&amp;"plugins/vc/alludium/documents/origination/dedupe-novelty-policy.md","Dedupe And Novelty Policy")</f>
        <v/>
      </c>
      <c r="B53" s="15" t="inlineStr">
        <is>
          <t>policy</t>
        </is>
      </c>
      <c r="C53" s="15" t="inlineStr">
        <is>
          <t>vc_origination_pipeline</t>
        </is>
      </c>
      <c r="D53" s="15" t="inlineStr">
        <is>
          <t>Policy for matching sourced candidates to existing opportunities, relationships, and prior rejects before promotion.</t>
        </is>
      </c>
      <c r="E53" s="15" t="inlineStr">
        <is>
          <t>screen-active-sourcing-candidates</t>
        </is>
      </c>
    </row>
    <row r="54" ht="45" customHeight="1" s="12">
      <c r="A54" s="16">
        <f>HYPERLINK('Link Config'!$B$2&amp;"plugins/vc/alludium/documents/origination/apify-source-setup-checklist.md","Apify Source Setup Checklist")</f>
        <v/>
      </c>
      <c r="B54" s="15" t="inlineStr">
        <is>
          <t>checklist</t>
        </is>
      </c>
      <c r="C54" s="15" t="inlineStr">
        <is>
          <t>vc_origination_pipeline</t>
        </is>
      </c>
      <c r="D54" s="15" t="inlineStr">
        <is>
          <t>Source-specific setup checklist for Apify actor allowlists, inputs, spend controls, and preview policy.</t>
        </is>
      </c>
      <c r="E54" s="15" t="inlineStr">
        <is>
          <t>apify-discovery
apify-setup
apify-sync-read</t>
        </is>
      </c>
    </row>
    <row r="55" ht="45" customHeight="1" s="12">
      <c r="A55" s="16">
        <f>HYPERLINK('Link Config'!$B$2&amp;"plugins/vc/alludium/documents/origination/companies-house-source-setup-checklist.md","Companies House Source Setup Checklist")</f>
        <v/>
      </c>
      <c r="B55" s="15" t="inlineStr">
        <is>
          <t>checklist</t>
        </is>
      </c>
      <c r="C55" s="15" t="inlineStr">
        <is>
          <t>vc_origination_pipeline</t>
        </is>
      </c>
      <c r="D55" s="15" t="inlineStr">
        <is>
          <t>Source-specific setup checklist for public-register discovery scope, region policy, and reviewed read-preview.</t>
        </is>
      </c>
      <c r="E55" s="15" t="inlineStr">
        <is>
          <t>companies-house-discovery
companies-house-setup
companies-house-sync-read</t>
        </is>
      </c>
    </row>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E55"/>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46"/>
  <sheetViews>
    <sheetView workbookViewId="0">
      <pane ySplit="2" topLeftCell="A3" activePane="bottomLeft" state="frozen"/>
      <selection pane="bottomLeft" activeCell="A1" sqref="A1"/>
    </sheetView>
  </sheetViews>
  <sheetFormatPr baseColWidth="8" defaultRowHeight="15"/>
  <cols>
    <col width="24" customWidth="1" style="12" min="1" max="1"/>
    <col width="22" customWidth="1" style="12" min="2" max="2"/>
    <col width="38" customWidth="1" style="12" min="3" max="3"/>
    <col width="44" customWidth="1" style="12" min="4" max="4"/>
  </cols>
  <sheetData>
    <row r="1" ht="18" customHeight="1" s="12">
      <c r="A1" s="13" t="inlineStr">
        <is>
          <t>Project</t>
        </is>
      </c>
      <c r="B1" s="13" t="inlineStr">
        <is>
          <t>Stage</t>
        </is>
      </c>
      <c r="C1" s="13" t="inlineStr">
        <is>
          <t>Task</t>
        </is>
      </c>
      <c r="D1" s="13" t="inlineStr">
        <is>
          <t>Skill</t>
        </is>
      </c>
    </row>
    <row r="2" ht="18" customHeight="1" s="12">
      <c r="A2" s="14" t="inlineStr">
        <is>
          <t>Project Type</t>
        </is>
      </c>
      <c r="B2" s="14" t="inlineStr">
        <is>
          <t>Stage / Pseudo-stage</t>
        </is>
      </c>
      <c r="C2" s="14" t="inlineStr">
        <is>
          <t>Linked task</t>
        </is>
      </c>
      <c r="D2" s="14" t="inlineStr">
        <is>
          <t>Linked skill</t>
        </is>
      </c>
    </row>
    <row r="3" ht="18" customHeight="1" s="12">
      <c r="A3" s="15" t="inlineStr">
        <is>
          <t>Deal Pipeline</t>
        </is>
      </c>
      <c r="B3" s="15" t="inlineStr">
        <is>
          <t>Setup</t>
        </is>
      </c>
      <c r="C3" s="16">
        <f>HYPERLINK('Link Config'!$B$2&amp;"plugins/vc/tasks/screen-inbound-opportunity.md","Capture Opportunity Intake")</f>
        <v/>
      </c>
      <c r="D3" s="16">
        <f>HYPERLINK('Link Config'!$B$2&amp;"plugins/vc/skills/deal-room-setup-and-source-ingestion/SKILL.md","Deal Pipeline Setup &amp; Source Ingestion")</f>
        <v/>
      </c>
    </row>
    <row r="4" ht="18" customHeight="1" s="12">
      <c r="A4" s="15" t="inlineStr">
        <is>
          <t>Deal Pipeline</t>
        </is>
      </c>
      <c r="B4" s="15" t="inlineStr">
        <is>
          <t>Setup</t>
        </is>
      </c>
      <c r="C4" s="16">
        <f>HYPERLINK('Link Config'!$B$2&amp;"plugins/vc/tasks/screen-inbound-opportunity.md","Capture Opportunity Intake")</f>
        <v/>
      </c>
      <c r="D4" s="16">
        <f>HYPERLINK('Link Config'!$B$2&amp;"plugins/vc/skills/company-research-and-enrichment/SKILL.md","Company Research &amp; Enrichment")</f>
        <v/>
      </c>
    </row>
    <row r="5" ht="18" customHeight="1" s="12">
      <c r="A5" s="15" t="inlineStr">
        <is>
          <t>Deal Pipeline</t>
        </is>
      </c>
      <c r="B5" s="15" t="inlineStr">
        <is>
          <t>Setup</t>
        </is>
      </c>
      <c r="C5" s="16">
        <f>HYPERLINK('Link Config'!$B$2&amp;"plugins/vc/tasks/screen-inbound-opportunity.md","Capture Opportunity Intake")</f>
        <v/>
      </c>
      <c r="D5" s="16">
        <f>HYPERLINK('Link Config'!$B$2&amp;"plugins/vc/skills/citation-enforcement/SKILL.md","Citation Enforcement")</f>
        <v/>
      </c>
    </row>
    <row r="6" ht="18" customHeight="1" s="12">
      <c r="A6" s="15" t="inlineStr">
        <is>
          <t>Deal Pipeline</t>
        </is>
      </c>
      <c r="B6" s="15" t="inlineStr">
        <is>
          <t>Setup</t>
        </is>
      </c>
      <c r="C6" s="16">
        <f>HYPERLINK('Link Config'!$B$2&amp;"plugins/vc/tasks/screen-inbound-opportunity.md","Capture Opportunity Intake")</f>
        <v/>
      </c>
      <c r="D6" s="16">
        <f>HYPERLINK('Link Config'!$B$2&amp;"plugins/vc/skills/pitch-deck-explainer/SKILL.md","Pitch Deck Explainer")</f>
        <v/>
      </c>
    </row>
    <row r="7" ht="18" customHeight="1" s="12">
      <c r="A7" s="15" t="inlineStr">
        <is>
          <t>Deal Pipeline</t>
        </is>
      </c>
      <c r="B7" s="15" t="inlineStr">
        <is>
          <t>Setup</t>
        </is>
      </c>
      <c r="C7" s="16">
        <f>HYPERLINK('Link Config'!$B$2&amp;"plugins/vc/tasks/affinity-setup.md","Set Up Affinity for Deal Pipelines")</f>
        <v/>
      </c>
      <c r="D7" s="16">
        <f>HYPERLINK('Link Config'!$B$2&amp;"plugins/vc/skills/vc-affinity-discovery/SKILL.md","VC Affinity Discovery")</f>
        <v/>
      </c>
    </row>
    <row r="8" ht="18" customHeight="1" s="12">
      <c r="A8" s="15" t="inlineStr">
        <is>
          <t>Deal Pipeline</t>
        </is>
      </c>
      <c r="B8" s="15" t="inlineStr">
        <is>
          <t>Setup</t>
        </is>
      </c>
      <c r="C8" s="16">
        <f>HYPERLINK('Link Config'!$B$2&amp;"plugins/vc/tasks/affinity-setup.md","Set Up Affinity for Deal Pipelines")</f>
        <v/>
      </c>
      <c r="D8" s="16">
        <f>HYPERLINK('Link Config'!$B$2&amp;"plugins/vc/skills/vc-affinity-sync-read/SKILL.md","VC Affinity Sync Read")</f>
        <v/>
      </c>
    </row>
    <row r="9" ht="18" customHeight="1" s="12">
      <c r="A9" s="15" t="inlineStr">
        <is>
          <t>Deal Pipeline</t>
        </is>
      </c>
      <c r="B9" s="15" t="inlineStr">
        <is>
          <t>Setup</t>
        </is>
      </c>
      <c r="C9" s="16">
        <f>HYPERLINK('Link Config'!$B$2&amp;"plugins/vc/tasks/affinity-setup.md","Set Up Affinity for Deal Pipelines")</f>
        <v/>
      </c>
      <c r="D9" s="16">
        <f>HYPERLINK('Link Config'!$B$2&amp;"plugins/vc/skills/vc-affinity-sync-write/SKILL.md","VC Affinity Sync Write")</f>
        <v/>
      </c>
    </row>
    <row r="10" ht="18" customHeight="1" s="12">
      <c r="A10" s="15" t="inlineStr">
        <is>
          <t>Deal Pipeline</t>
        </is>
      </c>
      <c r="B10" s="15" t="inlineStr">
        <is>
          <t>Setup</t>
        </is>
      </c>
      <c r="C10" s="16">
        <f>HYPERLINK('Link Config'!$B$2&amp;"plugins/vc/tasks/affinity-setup.md","Set Up Affinity for Deal Pipelines")</f>
        <v/>
      </c>
      <c r="D10" s="16">
        <f>HYPERLINK('Link Config'!$B$2&amp;"plugins/vc/skills/citation-enforcement/SKILL.md","Citation Enforcement")</f>
        <v/>
      </c>
    </row>
    <row r="11" ht="18" customHeight="1" s="12">
      <c r="A11" s="15" t="inlineStr">
        <is>
          <t>Deal Pipeline</t>
        </is>
      </c>
      <c r="B11" s="15" t="inlineStr">
        <is>
          <t>Setup</t>
        </is>
      </c>
      <c r="C11" s="16">
        <f>HYPERLINK('Link Config'!$B$2&amp;"plugins/vc/tasks/affinity-deal-room-import.md","Import Affinity Deal Pipeline Seed")</f>
        <v/>
      </c>
      <c r="D11" s="16">
        <f>HYPERLINK('Link Config'!$B$2&amp;"plugins/vc/skills/vc-affinity-deal-room-import/SKILL.md","VC Affinity Deal Pipeline Import")</f>
        <v/>
      </c>
    </row>
    <row r="12" ht="18" customHeight="1" s="12">
      <c r="A12" s="15" t="inlineStr">
        <is>
          <t>Deal Pipeline</t>
        </is>
      </c>
      <c r="B12" s="15" t="inlineStr">
        <is>
          <t>Setup</t>
        </is>
      </c>
      <c r="C12" s="16">
        <f>HYPERLINK('Link Config'!$B$2&amp;"plugins/vc/tasks/affinity-deal-room-import.md","Import Affinity Deal Pipeline Seed")</f>
        <v/>
      </c>
      <c r="D12" s="16">
        <f>HYPERLINK('Link Config'!$B$2&amp;"plugins/vc/skills/vc-affinity-sync-read/SKILL.md","VC Affinity Sync Read")</f>
        <v/>
      </c>
    </row>
    <row r="13" ht="18" customHeight="1" s="12">
      <c r="A13" s="15" t="inlineStr">
        <is>
          <t>Deal Pipeline</t>
        </is>
      </c>
      <c r="B13" s="15" t="inlineStr">
        <is>
          <t>Setup</t>
        </is>
      </c>
      <c r="C13" s="16">
        <f>HYPERLINK('Link Config'!$B$2&amp;"plugins/vc/tasks/affinity-deal-room-import.md","Import Affinity Deal Pipeline Seed")</f>
        <v/>
      </c>
      <c r="D13" s="16">
        <f>HYPERLINK('Link Config'!$B$2&amp;"plugins/vc/skills/deal-room-setup-and-source-ingestion/SKILL.md","Deal Pipeline Setup &amp; Source Ingestion")</f>
        <v/>
      </c>
    </row>
    <row r="14" ht="18" customHeight="1" s="12">
      <c r="A14" s="15" t="inlineStr">
        <is>
          <t>Deal Pipeline</t>
        </is>
      </c>
      <c r="B14" s="15" t="inlineStr">
        <is>
          <t>Setup</t>
        </is>
      </c>
      <c r="C14" s="16">
        <f>HYPERLINK('Link Config'!$B$2&amp;"plugins/vc/tasks/affinity-deal-room-import.md","Import Affinity Deal Pipeline Seed")</f>
        <v/>
      </c>
      <c r="D14" s="16">
        <f>HYPERLINK('Link Config'!$B$2&amp;"plugins/vc/skills/citation-enforcement/SKILL.md","Citation Enforcement")</f>
        <v/>
      </c>
    </row>
    <row r="15" ht="18" customHeight="1" s="12">
      <c r="A15" s="15" t="inlineStr">
        <is>
          <t>Deal Pipeline</t>
        </is>
      </c>
      <c r="B15" s="15" t="inlineStr">
        <is>
          <t>General</t>
        </is>
      </c>
      <c r="C15" s="16">
        <f>HYPERLINK('Link Config'!$B$2&amp;"plugins/vc/tasks/prepare-initial-call.md","Prepare Meeting")</f>
        <v/>
      </c>
      <c r="D15" s="16">
        <f>HYPERLINK('Link Config'!$B$2&amp;"plugins/vc/skills/meeting-prep-and-summary/SKILL.md","Meeting Prep &amp; Summary")</f>
        <v/>
      </c>
    </row>
    <row r="16" ht="18" customHeight="1" s="12">
      <c r="A16" s="15" t="inlineStr">
        <is>
          <t>Deal Pipeline</t>
        </is>
      </c>
      <c r="B16" s="15" t="inlineStr">
        <is>
          <t>General</t>
        </is>
      </c>
      <c r="C16" s="16">
        <f>HYPERLINK('Link Config'!$B$2&amp;"plugins/vc/tasks/prepare-initial-call.md","Prepare Meeting")</f>
        <v/>
      </c>
      <c r="D16" s="16">
        <f>HYPERLINK('Link Config'!$B$2&amp;"plugins/vc/skills/company-research-and-enrichment/SKILL.md","Company Research &amp; Enrichment")</f>
        <v/>
      </c>
    </row>
    <row r="17" ht="18" customHeight="1" s="12">
      <c r="A17" s="15" t="inlineStr">
        <is>
          <t>Deal Pipeline</t>
        </is>
      </c>
      <c r="B17" s="15" t="inlineStr">
        <is>
          <t>General</t>
        </is>
      </c>
      <c r="C17" s="16">
        <f>HYPERLINK('Link Config'!$B$2&amp;"plugins/vc/tasks/prepare-initial-call.md","Prepare Meeting")</f>
        <v/>
      </c>
      <c r="D17" s="16">
        <f>HYPERLINK('Link Config'!$B$2&amp;"plugins/vc/skills/citation-enforcement/SKILL.md","Citation Enforcement")</f>
        <v/>
      </c>
    </row>
    <row r="18" ht="18" customHeight="1" s="12">
      <c r="A18" s="15" t="inlineStr">
        <is>
          <t>Deal Pipeline</t>
        </is>
      </c>
      <c r="B18" s="15" t="inlineStr">
        <is>
          <t>General</t>
        </is>
      </c>
      <c r="C18" s="16">
        <f>HYPERLINK('Link Config'!$B$2&amp;"plugins/vc/tasks/prepare-initial-call.md","Prepare Meeting")</f>
        <v/>
      </c>
      <c r="D18" s="16">
        <f>HYPERLINK('Link Config'!$B$2&amp;"plugins/vc/skills/pitch-deck-explainer/SKILL.md","Pitch Deck Explainer")</f>
        <v/>
      </c>
    </row>
    <row r="19" ht="18" customHeight="1" s="12">
      <c r="A19" s="15" t="inlineStr">
        <is>
          <t>Deal Pipeline</t>
        </is>
      </c>
      <c r="B19" s="15" t="inlineStr">
        <is>
          <t>General</t>
        </is>
      </c>
      <c r="C19" s="16">
        <f>HYPERLINK('Link Config'!$B$2&amp;"plugins/vc/tasks/request-founder-materials.md","Request Founder Materials")</f>
        <v/>
      </c>
      <c r="D19" s="16">
        <f>HYPERLINK('Link Config'!$B$2&amp;"plugins/vc/skills/citation-enforcement/SKILL.md","Citation Enforcement")</f>
        <v/>
      </c>
    </row>
    <row r="20" ht="18" customHeight="1" s="12">
      <c r="A20" s="15" t="inlineStr">
        <is>
          <t>Deal Pipeline</t>
        </is>
      </c>
      <c r="B20" s="15" t="inlineStr">
        <is>
          <t>General</t>
        </is>
      </c>
      <c r="C20" s="16">
        <f>HYPERLINK('Link Config'!$B$2&amp;"plugins/vc/tasks/request-founder-materials.md","Request Founder Materials")</f>
        <v/>
      </c>
      <c r="D20" s="16">
        <f>HYPERLINK('Link Config'!$B$2&amp;"plugins/vc/skills/founder-materials-request/SKILL.md","Founder Materials Request")</f>
        <v/>
      </c>
    </row>
    <row r="21" ht="18" customHeight="1" s="12">
      <c r="A21" s="15" t="inlineStr">
        <is>
          <t>Deal Pipeline</t>
        </is>
      </c>
      <c r="B21" s="15" t="inlineStr">
        <is>
          <t>General</t>
        </is>
      </c>
      <c r="C21" s="16">
        <f>HYPERLINK('Link Config'!$B$2&amp;"plugins/vc/tasks/summarize-initial-call.md","Summarize Meeting Records")</f>
        <v/>
      </c>
      <c r="D21" s="16">
        <f>HYPERLINK('Link Config'!$B$2&amp;"plugins/vc/skills/meeting-prep-and-summary/SKILL.md","Meeting Prep &amp; Summary")</f>
        <v/>
      </c>
    </row>
    <row r="22" ht="18" customHeight="1" s="12">
      <c r="A22" s="15" t="inlineStr">
        <is>
          <t>Deal Pipeline</t>
        </is>
      </c>
      <c r="B22" s="15" t="inlineStr">
        <is>
          <t>General</t>
        </is>
      </c>
      <c r="C22" s="16">
        <f>HYPERLINK('Link Config'!$B$2&amp;"plugins/vc/tasks/summarize-initial-call.md","Summarize Meeting Records")</f>
        <v/>
      </c>
      <c r="D22" s="16">
        <f>HYPERLINK('Link Config'!$B$2&amp;"plugins/vc/skills/citation-enforcement/SKILL.md","Citation Enforcement")</f>
        <v/>
      </c>
    </row>
    <row r="23" ht="18" customHeight="1" s="12">
      <c r="A23" s="15" t="inlineStr">
        <is>
          <t>Deal Pipeline</t>
        </is>
      </c>
      <c r="B23" s="15" t="inlineStr">
        <is>
          <t>General</t>
        </is>
      </c>
      <c r="C23" s="16">
        <f>HYPERLINK('Link Config'!$B$2&amp;"plugins/vc/tasks/summarize-initial-call.md","Summarize Meeting Records")</f>
        <v/>
      </c>
      <c r="D23" s="16">
        <f>HYPERLINK('Link Config'!$B$2&amp;"plugins/vc/skills/vc-task-and-next-step-generation/SKILL.md","VC Task &amp; Next-Step Generation")</f>
        <v/>
      </c>
    </row>
    <row r="24" ht="18" customHeight="1" s="12">
      <c r="A24" s="15" t="inlineStr">
        <is>
          <t>Deal Pipeline</t>
        </is>
      </c>
      <c r="B24" s="15" t="inlineStr">
        <is>
          <t>General</t>
        </is>
      </c>
      <c r="C24" s="16">
        <f>HYPERLINK('Link Config'!$B$2&amp;"plugins/vc/tasks/review-opportunity-status.md","Review Opportunity Status")</f>
        <v/>
      </c>
      <c r="D24" s="16">
        <f>HYPERLINK('Link Config'!$B$2&amp;"plugins/vc/skills/citation-enforcement/SKILL.md","Citation Enforcement")</f>
        <v/>
      </c>
    </row>
    <row r="25" ht="18" customHeight="1" s="12">
      <c r="A25" s="15" t="inlineStr">
        <is>
          <t>Deal Pipeline</t>
        </is>
      </c>
      <c r="B25" s="15" t="inlineStr">
        <is>
          <t>General</t>
        </is>
      </c>
      <c r="C25" s="16">
        <f>HYPERLINK('Link Config'!$B$2&amp;"plugins/vc/tasks/review-opportunity-status.md","Review Opportunity Status")</f>
        <v/>
      </c>
      <c r="D25" s="16">
        <f>HYPERLINK('Link Config'!$B$2&amp;"plugins/vc/skills/vc-task-and-next-step-generation/SKILL.md","VC Task &amp; Next-Step Generation")</f>
        <v/>
      </c>
    </row>
    <row r="26" ht="18" customHeight="1" s="12">
      <c r="A26" s="15" t="inlineStr">
        <is>
          <t>Deal Pipeline</t>
        </is>
      </c>
      <c r="B26" s="15" t="inlineStr">
        <is>
          <t>Integration Support</t>
        </is>
      </c>
      <c r="C26" s="16">
        <f>HYPERLINK('Link Config'!$B$2&amp;"plugins/vc/tasks/affinity-sync-read.md","Preview Affinity Pipeline Import")</f>
        <v/>
      </c>
      <c r="D26" s="16">
        <f>HYPERLINK('Link Config'!$B$2&amp;"plugins/vc/skills/vc-affinity-sync-read/SKILL.md","VC Affinity Sync Read")</f>
        <v/>
      </c>
    </row>
    <row r="27" ht="18" customHeight="1" s="12">
      <c r="A27" s="15" t="inlineStr">
        <is>
          <t>Deal Pipeline</t>
        </is>
      </c>
      <c r="B27" s="15" t="inlineStr">
        <is>
          <t>Integration Support</t>
        </is>
      </c>
      <c r="C27" s="16">
        <f>HYPERLINK('Link Config'!$B$2&amp;"plugins/vc/tasks/affinity-sync-read.md","Preview Affinity Pipeline Import")</f>
        <v/>
      </c>
      <c r="D27" s="16">
        <f>HYPERLINK('Link Config'!$B$2&amp;"plugins/vc/skills/citation-enforcement/SKILL.md","Citation Enforcement")</f>
        <v/>
      </c>
    </row>
    <row r="28" ht="18" customHeight="1" s="12">
      <c r="A28" s="15" t="inlineStr">
        <is>
          <t>Deal Pipeline</t>
        </is>
      </c>
      <c r="B28" s="15" t="inlineStr">
        <is>
          <t>Integration Support</t>
        </is>
      </c>
      <c r="C28" s="16">
        <f>HYPERLINK('Link Config'!$B$2&amp;"plugins/vc/tasks/affinity-sync-write.md","Draft Affinity Write-Back Proposals")</f>
        <v/>
      </c>
      <c r="D28" s="16">
        <f>HYPERLINK('Link Config'!$B$2&amp;"plugins/vc/skills/vc-affinity-sync-write/SKILL.md","VC Affinity Sync Write")</f>
        <v/>
      </c>
    </row>
    <row r="29" ht="18" customHeight="1" s="12">
      <c r="A29" s="15" t="inlineStr">
        <is>
          <t>Deal Pipeline</t>
        </is>
      </c>
      <c r="B29" s="15" t="inlineStr">
        <is>
          <t>Integration Support</t>
        </is>
      </c>
      <c r="C29" s="16">
        <f>HYPERLINK('Link Config'!$B$2&amp;"plugins/vc/tasks/affinity-sync-write.md","Draft Affinity Write-Back Proposals")</f>
        <v/>
      </c>
      <c r="D29" s="16">
        <f>HYPERLINK('Link Config'!$B$2&amp;"plugins/vc/skills/citation-enforcement/SKILL.md","Citation Enforcement")</f>
        <v/>
      </c>
    </row>
    <row r="30" ht="18" customHeight="1" s="12">
      <c r="A30" s="15" t="inlineStr">
        <is>
          <t>Deal Pipeline</t>
        </is>
      </c>
      <c r="B30" s="15" t="inlineStr">
        <is>
          <t>Integration Support</t>
        </is>
      </c>
      <c r="C30" s="16">
        <f>HYPERLINK('Link Config'!$B$2&amp;"plugins/vc/tasks/google-drive-sync-write.md","Draft Google Drive File Proposals")</f>
        <v/>
      </c>
      <c r="D30" s="16">
        <f>HYPERLINK('Link Config'!$B$2&amp;"plugins/vc/skills/vc-google-drive-sync-write/SKILL.md","VC Google Drive Sync Write")</f>
        <v/>
      </c>
    </row>
    <row r="31" ht="18" customHeight="1" s="12">
      <c r="A31" s="15" t="inlineStr">
        <is>
          <t>Deal Pipeline</t>
        </is>
      </c>
      <c r="B31" s="15" t="inlineStr">
        <is>
          <t>Integration Support</t>
        </is>
      </c>
      <c r="C31" s="16">
        <f>HYPERLINK('Link Config'!$B$2&amp;"plugins/vc/tasks/google-drive-sync-write.md","Draft Google Drive File Proposals")</f>
        <v/>
      </c>
      <c r="D31" s="16">
        <f>HYPERLINK('Link Config'!$B$2&amp;"plugins/vc/skills/citation-enforcement/SKILL.md","Citation Enforcement")</f>
        <v/>
      </c>
    </row>
    <row r="32" ht="18" customHeight="1" s="12">
      <c r="A32" s="15" t="inlineStr">
        <is>
          <t>Deal Pipeline</t>
        </is>
      </c>
      <c r="B32" s="15" t="inlineStr">
        <is>
          <t>Integration Support</t>
        </is>
      </c>
      <c r="C32" s="16">
        <f>HYPERLINK('Link Config'!$B$2&amp;"plugins/vc/tasks/notion-sync-write.md","Draft Notion Update Proposals")</f>
        <v/>
      </c>
      <c r="D32" s="16">
        <f>HYPERLINK('Link Config'!$B$2&amp;"plugins/vc/skills/vc-notion-sync-write/SKILL.md","VC Notion Sync Write")</f>
        <v/>
      </c>
    </row>
    <row r="33" ht="18" customHeight="1" s="12">
      <c r="A33" s="15" t="inlineStr">
        <is>
          <t>Deal Pipeline</t>
        </is>
      </c>
      <c r="B33" s="15" t="inlineStr">
        <is>
          <t>Integration Support</t>
        </is>
      </c>
      <c r="C33" s="16">
        <f>HYPERLINK('Link Config'!$B$2&amp;"plugins/vc/tasks/notion-sync-write.md","Draft Notion Update Proposals")</f>
        <v/>
      </c>
      <c r="D33" s="16">
        <f>HYPERLINK('Link Config'!$B$2&amp;"plugins/vc/skills/citation-enforcement/SKILL.md","Citation Enforcement")</f>
        <v/>
      </c>
    </row>
    <row r="34" ht="18" customHeight="1" s="12">
      <c r="A34" s="15" t="inlineStr">
        <is>
          <t>Deal Pipeline</t>
        </is>
      </c>
      <c r="B34" s="15" t="inlineStr">
        <is>
          <t>Integration Support</t>
        </is>
      </c>
      <c r="C34" s="16">
        <f>HYPERLINK('Link Config'!$B$2&amp;"plugins/vc/tasks/slack-sync-write.md","Draft Slack Handoff Notifications")</f>
        <v/>
      </c>
      <c r="D34" s="16">
        <f>HYPERLINK('Link Config'!$B$2&amp;"plugins/vc/skills/vc-slack-sync-write/SKILL.md","VC Slack Sync Write")</f>
        <v/>
      </c>
    </row>
    <row r="35" ht="18" customHeight="1" s="12">
      <c r="A35" s="15" t="inlineStr">
        <is>
          <t>Deal Pipeline</t>
        </is>
      </c>
      <c r="B35" s="15" t="inlineStr">
        <is>
          <t>Integration Support</t>
        </is>
      </c>
      <c r="C35" s="16">
        <f>HYPERLINK('Link Config'!$B$2&amp;"plugins/vc/tasks/slack-sync-write.md","Draft Slack Handoff Notifications")</f>
        <v/>
      </c>
      <c r="D35" s="16">
        <f>HYPERLINK('Link Config'!$B$2&amp;"plugins/vc/skills/citation-enforcement/SKILL.md","Citation Enforcement")</f>
        <v/>
      </c>
    </row>
    <row r="36" ht="18" customHeight="1" s="12">
      <c r="A36" s="15" t="inlineStr">
        <is>
          <t>Deal Pipeline</t>
        </is>
      </c>
      <c r="B36" s="15" t="inlineStr">
        <is>
          <t>Integration Support</t>
        </is>
      </c>
      <c r="C36" s="16">
        <f>HYPERLINK('Link Config'!$B$2&amp;"plugins/vc/tasks/affinity-discovery.md","Explore Affinity Lists and Stages")</f>
        <v/>
      </c>
      <c r="D36" s="16">
        <f>HYPERLINK('Link Config'!$B$2&amp;"plugins/vc/skills/vc-affinity-discovery/SKILL.md","VC Affinity Discovery")</f>
        <v/>
      </c>
    </row>
    <row r="37" ht="18" customHeight="1" s="12">
      <c r="A37" s="15" t="inlineStr">
        <is>
          <t>Deal Pipeline</t>
        </is>
      </c>
      <c r="B37" s="15" t="inlineStr">
        <is>
          <t>Integration Support</t>
        </is>
      </c>
      <c r="C37" s="16">
        <f>HYPERLINK('Link Config'!$B$2&amp;"plugins/vc/tasks/affinity-discovery.md","Explore Affinity Lists and Stages")</f>
        <v/>
      </c>
      <c r="D37" s="16">
        <f>HYPERLINK('Link Config'!$B$2&amp;"plugins/vc/skills/citation-enforcement/SKILL.md","Citation Enforcement")</f>
        <v/>
      </c>
    </row>
    <row r="38" ht="18" customHeight="1" s="12">
      <c r="A38" s="15" t="inlineStr">
        <is>
          <t>Deal Pipeline</t>
        </is>
      </c>
      <c r="B38" s="15" t="inlineStr">
        <is>
          <t>Integration Support</t>
        </is>
      </c>
      <c r="C38" s="16">
        <f>HYPERLINK('Link Config'!$B$2&amp;"plugins/vc/tasks/google-drive-discovery.md","Explore Google Drive Sources")</f>
        <v/>
      </c>
      <c r="D38" s="16">
        <f>HYPERLINK('Link Config'!$B$2&amp;"plugins/vc/skills/vc-google-drive-discovery/SKILL.md","VC Google Drive Discovery")</f>
        <v/>
      </c>
    </row>
    <row r="39" ht="18" customHeight="1" s="12">
      <c r="A39" s="15" t="inlineStr">
        <is>
          <t>Deal Pipeline</t>
        </is>
      </c>
      <c r="B39" s="15" t="inlineStr">
        <is>
          <t>Integration Support</t>
        </is>
      </c>
      <c r="C39" s="16">
        <f>HYPERLINK('Link Config'!$B$2&amp;"plugins/vc/tasks/google-drive-discovery.md","Explore Google Drive Sources")</f>
        <v/>
      </c>
      <c r="D39" s="16">
        <f>HYPERLINK('Link Config'!$B$2&amp;"plugins/vc/skills/citation-enforcement/SKILL.md","Citation Enforcement")</f>
        <v/>
      </c>
    </row>
    <row r="40" ht="18" customHeight="1" s="12">
      <c r="A40" s="15" t="inlineStr">
        <is>
          <t>Deal Pipeline</t>
        </is>
      </c>
      <c r="B40" s="15" t="inlineStr">
        <is>
          <t>Integration Support</t>
        </is>
      </c>
      <c r="C40" s="16">
        <f>HYPERLINK('Link Config'!$B$2&amp;"plugins/vc/tasks/harmonic-discovery.md","Explore Harmonic Source Scopes")</f>
        <v/>
      </c>
      <c r="D40" s="16">
        <f>HYPERLINK('Link Config'!$B$2&amp;"plugins/vc/skills/vc-harmonic-discovery/SKILL.md","VC Harmonic Discovery")</f>
        <v/>
      </c>
    </row>
    <row r="41" ht="18" customHeight="1" s="12">
      <c r="A41" s="15" t="inlineStr">
        <is>
          <t>Deal Pipeline</t>
        </is>
      </c>
      <c r="B41" s="15" t="inlineStr">
        <is>
          <t>Integration Support</t>
        </is>
      </c>
      <c r="C41" s="16">
        <f>HYPERLINK('Link Config'!$B$2&amp;"plugins/vc/tasks/harmonic-discovery.md","Explore Harmonic Source Scopes")</f>
        <v/>
      </c>
      <c r="D41" s="16">
        <f>HYPERLINK('Link Config'!$B$2&amp;"plugins/vc/skills/citation-enforcement/SKILL.md","Citation Enforcement")</f>
        <v/>
      </c>
    </row>
    <row r="42" ht="18" customHeight="1" s="12">
      <c r="A42" s="15" t="inlineStr">
        <is>
          <t>Deal Pipeline</t>
        </is>
      </c>
      <c r="B42" s="15" t="inlineStr">
        <is>
          <t>Integration Support</t>
        </is>
      </c>
      <c r="C42" s="16">
        <f>HYPERLINK('Link Config'!$B$2&amp;"plugins/vc/tasks/notion-discovery.md","Explore Notion Pages and Databases")</f>
        <v/>
      </c>
      <c r="D42" s="16">
        <f>HYPERLINK('Link Config'!$B$2&amp;"plugins/vc/skills/vc-notion-discovery/SKILL.md","VC Notion Discovery")</f>
        <v/>
      </c>
    </row>
    <row r="43" ht="18" customHeight="1" s="12">
      <c r="A43" s="15" t="inlineStr">
        <is>
          <t>Deal Pipeline</t>
        </is>
      </c>
      <c r="B43" s="15" t="inlineStr">
        <is>
          <t>Integration Support</t>
        </is>
      </c>
      <c r="C43" s="16">
        <f>HYPERLINK('Link Config'!$B$2&amp;"plugins/vc/tasks/notion-discovery.md","Explore Notion Pages and Databases")</f>
        <v/>
      </c>
      <c r="D43" s="16">
        <f>HYPERLINK('Link Config'!$B$2&amp;"plugins/vc/skills/citation-enforcement/SKILL.md","Citation Enforcement")</f>
        <v/>
      </c>
    </row>
    <row r="44" ht="18" customHeight="1" s="12">
      <c r="A44" s="15" t="inlineStr">
        <is>
          <t>Deal Pipeline</t>
        </is>
      </c>
      <c r="B44" s="15" t="inlineStr">
        <is>
          <t>Integration Support</t>
        </is>
      </c>
      <c r="C44" s="16">
        <f>HYPERLINK('Link Config'!$B$2&amp;"plugins/vc/tasks/slack-discovery.md","Explore Slack Channels for VC Context")</f>
        <v/>
      </c>
      <c r="D44" s="16">
        <f>HYPERLINK('Link Config'!$B$2&amp;"plugins/vc/skills/vc-slack-discovery/SKILL.md","VC Slack Discovery")</f>
        <v/>
      </c>
    </row>
    <row r="45" ht="18" customHeight="1" s="12">
      <c r="A45" s="15" t="inlineStr">
        <is>
          <t>Deal Pipeline</t>
        </is>
      </c>
      <c r="B45" s="15" t="inlineStr">
        <is>
          <t>Integration Support</t>
        </is>
      </c>
      <c r="C45" s="16">
        <f>HYPERLINK('Link Config'!$B$2&amp;"plugins/vc/tasks/slack-discovery.md","Explore Slack Channels for VC Context")</f>
        <v/>
      </c>
      <c r="D45" s="16">
        <f>HYPERLINK('Link Config'!$B$2&amp;"plugins/vc/skills/citation-enforcement/SKILL.md","Citation Enforcement")</f>
        <v/>
      </c>
    </row>
    <row r="46" ht="18" customHeight="1" s="12">
      <c r="A46" s="15" t="inlineStr">
        <is>
          <t>Deal Pipeline</t>
        </is>
      </c>
      <c r="B46" s="15" t="inlineStr">
        <is>
          <t>Pipeline Management</t>
        </is>
      </c>
      <c r="C46" s="16">
        <f>HYPERLINK('Link Config'!$B$2&amp;"plugins/vc/tasks/prepare-deal-flow-agenda.md","Prepare Deal Flow Agenda")</f>
        <v/>
      </c>
      <c r="D46" s="16">
        <f>HYPERLINK('Link Config'!$B$2&amp;"plugins/vc/skills/citation-enforcement/SKILL.md","Citation Enforcement")</f>
        <v/>
      </c>
    </row>
    <row r="47" ht="18" customHeight="1" s="12">
      <c r="A47" s="15" t="inlineStr">
        <is>
          <t>Deal Pipeline</t>
        </is>
      </c>
      <c r="B47" s="15" t="inlineStr">
        <is>
          <t>Pipeline Management</t>
        </is>
      </c>
      <c r="C47" s="16">
        <f>HYPERLINK('Link Config'!$B$2&amp;"plugins/vc/tasks/prepare-deal-flow-agenda.md","Prepare Deal Flow Agenda")</f>
        <v/>
      </c>
      <c r="D47" s="16">
        <f>HYPERLINK('Link Config'!$B$2&amp;"plugins/vc/skills/vc-task-and-next-step-generation/SKILL.md","VC Task &amp; Next-Step Generation")</f>
        <v/>
      </c>
    </row>
    <row r="48" ht="18" customHeight="1" s="12">
      <c r="A48" s="15" t="inlineStr">
        <is>
          <t>Deal Pipeline</t>
        </is>
      </c>
      <c r="B48" s="15" t="inlineStr">
        <is>
          <t>Integration Support</t>
        </is>
      </c>
      <c r="C48" s="16">
        <f>HYPERLINK('Link Config'!$B$2&amp;"plugins/vc/tasks/google-drive-sync-read.md","Preview Google Drive Context")</f>
        <v/>
      </c>
      <c r="D48" s="16">
        <f>HYPERLINK('Link Config'!$B$2&amp;"plugins/vc/skills/vc-google-drive-sync-read/SKILL.md","VC Google Drive Sync Read")</f>
        <v/>
      </c>
    </row>
    <row r="49" ht="18" customHeight="1" s="12">
      <c r="A49" s="15" t="inlineStr">
        <is>
          <t>Deal Pipeline</t>
        </is>
      </c>
      <c r="B49" s="15" t="inlineStr">
        <is>
          <t>Integration Support</t>
        </is>
      </c>
      <c r="C49" s="16">
        <f>HYPERLINK('Link Config'!$B$2&amp;"plugins/vc/tasks/google-drive-sync-read.md","Preview Google Drive Context")</f>
        <v/>
      </c>
      <c r="D49" s="16">
        <f>HYPERLINK('Link Config'!$B$2&amp;"plugins/vc/skills/citation-enforcement/SKILL.md","Citation Enforcement")</f>
        <v/>
      </c>
    </row>
    <row r="50" ht="18" customHeight="1" s="12">
      <c r="A50" s="15" t="inlineStr">
        <is>
          <t>Deal Pipeline</t>
        </is>
      </c>
      <c r="B50" s="15" t="inlineStr">
        <is>
          <t>Integration Support</t>
        </is>
      </c>
      <c r="C50" s="16">
        <f>HYPERLINK('Link Config'!$B$2&amp;"plugins/vc/tasks/harmonic-sync-read.md","Preview Harmonic Search Results")</f>
        <v/>
      </c>
      <c r="D50" s="16">
        <f>HYPERLINK('Link Config'!$B$2&amp;"plugins/vc/skills/vc-harmonic-sync-read/SKILL.md","VC Harmonic Sync Read")</f>
        <v/>
      </c>
    </row>
    <row r="51" ht="18" customHeight="1" s="12">
      <c r="A51" s="15" t="inlineStr">
        <is>
          <t>Deal Pipeline</t>
        </is>
      </c>
      <c r="B51" s="15" t="inlineStr">
        <is>
          <t>Integration Support</t>
        </is>
      </c>
      <c r="C51" s="16">
        <f>HYPERLINK('Link Config'!$B$2&amp;"plugins/vc/tasks/harmonic-sync-read.md","Preview Harmonic Search Results")</f>
        <v/>
      </c>
      <c r="D51" s="16">
        <f>HYPERLINK('Link Config'!$B$2&amp;"plugins/vc/skills/citation-enforcement/SKILL.md","Citation Enforcement")</f>
        <v/>
      </c>
    </row>
    <row r="52" ht="18" customHeight="1" s="12">
      <c r="A52" s="15" t="inlineStr">
        <is>
          <t>Deal Pipeline</t>
        </is>
      </c>
      <c r="B52" s="15" t="inlineStr">
        <is>
          <t>Integration Support</t>
        </is>
      </c>
      <c r="C52" s="16">
        <f>HYPERLINK('Link Config'!$B$2&amp;"plugins/vc/tasks/notion-sync-read.md","Preview Notion Context")</f>
        <v/>
      </c>
      <c r="D52" s="16">
        <f>HYPERLINK('Link Config'!$B$2&amp;"plugins/vc/skills/vc-notion-sync-read/SKILL.md","VC Notion Sync Read")</f>
        <v/>
      </c>
    </row>
    <row r="53" ht="18" customHeight="1" s="12">
      <c r="A53" s="15" t="inlineStr">
        <is>
          <t>Deal Pipeline</t>
        </is>
      </c>
      <c r="B53" s="15" t="inlineStr">
        <is>
          <t>Integration Support</t>
        </is>
      </c>
      <c r="C53" s="16">
        <f>HYPERLINK('Link Config'!$B$2&amp;"plugins/vc/tasks/notion-sync-read.md","Preview Notion Context")</f>
        <v/>
      </c>
      <c r="D53" s="16">
        <f>HYPERLINK('Link Config'!$B$2&amp;"plugins/vc/skills/citation-enforcement/SKILL.md","Citation Enforcement")</f>
        <v/>
      </c>
    </row>
    <row r="54" ht="18" customHeight="1" s="12">
      <c r="A54" s="15" t="inlineStr">
        <is>
          <t>Deal Pipeline</t>
        </is>
      </c>
      <c r="B54" s="15" t="inlineStr">
        <is>
          <t>Integration Support</t>
        </is>
      </c>
      <c r="C54" s="16">
        <f>HYPERLINK('Link Config'!$B$2&amp;"plugins/vc/tasks/slack-sync-read.md","Preview Slack Deal Context")</f>
        <v/>
      </c>
      <c r="D54" s="16">
        <f>HYPERLINK('Link Config'!$B$2&amp;"plugins/vc/skills/vc-slack-sync-read/SKILL.md","VC Slack Sync Read")</f>
        <v/>
      </c>
    </row>
    <row r="55" ht="18" customHeight="1" s="12">
      <c r="A55" s="15" t="inlineStr">
        <is>
          <t>Deal Pipeline</t>
        </is>
      </c>
      <c r="B55" s="15" t="inlineStr">
        <is>
          <t>Integration Support</t>
        </is>
      </c>
      <c r="C55" s="16">
        <f>HYPERLINK('Link Config'!$B$2&amp;"plugins/vc/tasks/slack-sync-read.md","Preview Slack Deal Context")</f>
        <v/>
      </c>
      <c r="D55" s="16">
        <f>HYPERLINK('Link Config'!$B$2&amp;"plugins/vc/skills/citation-enforcement/SKILL.md","Citation Enforcement")</f>
        <v/>
      </c>
    </row>
    <row r="56" ht="18" customHeight="1" s="12">
      <c r="A56" s="15" t="inlineStr">
        <is>
          <t>Deal Pipeline</t>
        </is>
      </c>
      <c r="B56" s="15" t="inlineStr">
        <is>
          <t>Integration Support</t>
        </is>
      </c>
      <c r="C56" s="16">
        <f>HYPERLINK('Link Config'!$B$2&amp;"plugins/vc/tasks/google-drive-setup.md","Set Up Google Drive for Deal Pipelines")</f>
        <v/>
      </c>
      <c r="D56" s="16">
        <f>HYPERLINK('Link Config'!$B$2&amp;"plugins/vc/skills/vc-google-drive-discovery/SKILL.md","VC Google Drive Discovery")</f>
        <v/>
      </c>
    </row>
    <row r="57" ht="18" customHeight="1" s="12">
      <c r="A57" s="15" t="inlineStr">
        <is>
          <t>Deal Pipeline</t>
        </is>
      </c>
      <c r="B57" s="15" t="inlineStr">
        <is>
          <t>Integration Support</t>
        </is>
      </c>
      <c r="C57" s="16">
        <f>HYPERLINK('Link Config'!$B$2&amp;"plugins/vc/tasks/google-drive-setup.md","Set Up Google Drive for Deal Pipelines")</f>
        <v/>
      </c>
      <c r="D57" s="16">
        <f>HYPERLINK('Link Config'!$B$2&amp;"plugins/vc/skills/vc-google-drive-sync-read/SKILL.md","VC Google Drive Sync Read")</f>
        <v/>
      </c>
    </row>
    <row r="58" ht="18" customHeight="1" s="12">
      <c r="A58" s="15" t="inlineStr">
        <is>
          <t>Deal Pipeline</t>
        </is>
      </c>
      <c r="B58" s="15" t="inlineStr">
        <is>
          <t>Integration Support</t>
        </is>
      </c>
      <c r="C58" s="16">
        <f>HYPERLINK('Link Config'!$B$2&amp;"plugins/vc/tasks/google-drive-setup.md","Set Up Google Drive for Deal Pipelines")</f>
        <v/>
      </c>
      <c r="D58" s="16">
        <f>HYPERLINK('Link Config'!$B$2&amp;"plugins/vc/skills/vc-google-drive-sync-write/SKILL.md","VC Google Drive Sync Write")</f>
        <v/>
      </c>
    </row>
    <row r="59" ht="18" customHeight="1" s="12">
      <c r="A59" s="15" t="inlineStr">
        <is>
          <t>Deal Pipeline</t>
        </is>
      </c>
      <c r="B59" s="15" t="inlineStr">
        <is>
          <t>Integration Support</t>
        </is>
      </c>
      <c r="C59" s="16">
        <f>HYPERLINK('Link Config'!$B$2&amp;"plugins/vc/tasks/google-drive-setup.md","Set Up Google Drive for Deal Pipelines")</f>
        <v/>
      </c>
      <c r="D59" s="16">
        <f>HYPERLINK('Link Config'!$B$2&amp;"plugins/vc/skills/citation-enforcement/SKILL.md","Citation Enforcement")</f>
        <v/>
      </c>
    </row>
    <row r="60" ht="18" customHeight="1" s="12">
      <c r="A60" s="15" t="inlineStr">
        <is>
          <t>Deal Pipeline</t>
        </is>
      </c>
      <c r="B60" s="15" t="inlineStr">
        <is>
          <t>Integration Support</t>
        </is>
      </c>
      <c r="C60" s="16">
        <f>HYPERLINK('Link Config'!$B$2&amp;"plugins/vc/tasks/harmonic-setup.md","Set Up Harmonic for Deal Pipelines")</f>
        <v/>
      </c>
      <c r="D60" s="16">
        <f>HYPERLINK('Link Config'!$B$2&amp;"plugins/vc/skills/vc-harmonic-discovery/SKILL.md","VC Harmonic Discovery")</f>
        <v/>
      </c>
    </row>
    <row r="61" ht="18" customHeight="1" s="12">
      <c r="A61" s="15" t="inlineStr">
        <is>
          <t>Deal Pipeline</t>
        </is>
      </c>
      <c r="B61" s="15" t="inlineStr">
        <is>
          <t>Integration Support</t>
        </is>
      </c>
      <c r="C61" s="16">
        <f>HYPERLINK('Link Config'!$B$2&amp;"plugins/vc/tasks/harmonic-setup.md","Set Up Harmonic for Deal Pipelines")</f>
        <v/>
      </c>
      <c r="D61" s="16">
        <f>HYPERLINK('Link Config'!$B$2&amp;"plugins/vc/skills/vc-harmonic-sync-read/SKILL.md","VC Harmonic Sync Read")</f>
        <v/>
      </c>
    </row>
    <row r="62" ht="18" customHeight="1" s="12">
      <c r="A62" s="15" t="inlineStr">
        <is>
          <t>Deal Pipeline</t>
        </is>
      </c>
      <c r="B62" s="15" t="inlineStr">
        <is>
          <t>Integration Support</t>
        </is>
      </c>
      <c r="C62" s="16">
        <f>HYPERLINK('Link Config'!$B$2&amp;"plugins/vc/tasks/harmonic-setup.md","Set Up Harmonic for Deal Pipelines")</f>
        <v/>
      </c>
      <c r="D62" s="16">
        <f>HYPERLINK('Link Config'!$B$2&amp;"plugins/vc/skills/citation-enforcement/SKILL.md","Citation Enforcement")</f>
        <v/>
      </c>
    </row>
    <row r="63" ht="18" customHeight="1" s="12">
      <c r="A63" s="15" t="inlineStr">
        <is>
          <t>Deal Pipeline</t>
        </is>
      </c>
      <c r="B63" s="15" t="inlineStr">
        <is>
          <t>Integration Support</t>
        </is>
      </c>
      <c r="C63" s="16">
        <f>HYPERLINK('Link Config'!$B$2&amp;"plugins/vc/tasks/notion-setup.md","Set Up Notion for Deal Pipelines")</f>
        <v/>
      </c>
      <c r="D63" s="16">
        <f>HYPERLINK('Link Config'!$B$2&amp;"plugins/vc/skills/vc-notion-discovery/SKILL.md","VC Notion Discovery")</f>
        <v/>
      </c>
    </row>
    <row r="64" ht="18" customHeight="1" s="12">
      <c r="A64" s="15" t="inlineStr">
        <is>
          <t>Deal Pipeline</t>
        </is>
      </c>
      <c r="B64" s="15" t="inlineStr">
        <is>
          <t>Integration Support</t>
        </is>
      </c>
      <c r="C64" s="16">
        <f>HYPERLINK('Link Config'!$B$2&amp;"plugins/vc/tasks/notion-setup.md","Set Up Notion for Deal Pipelines")</f>
        <v/>
      </c>
      <c r="D64" s="16">
        <f>HYPERLINK('Link Config'!$B$2&amp;"plugins/vc/skills/vc-notion-sync-read/SKILL.md","VC Notion Sync Read")</f>
        <v/>
      </c>
    </row>
    <row r="65" ht="18" customHeight="1" s="12">
      <c r="A65" s="15" t="inlineStr">
        <is>
          <t>Deal Pipeline</t>
        </is>
      </c>
      <c r="B65" s="15" t="inlineStr">
        <is>
          <t>Integration Support</t>
        </is>
      </c>
      <c r="C65" s="16">
        <f>HYPERLINK('Link Config'!$B$2&amp;"plugins/vc/tasks/notion-setup.md","Set Up Notion for Deal Pipelines")</f>
        <v/>
      </c>
      <c r="D65" s="16">
        <f>HYPERLINK('Link Config'!$B$2&amp;"plugins/vc/skills/vc-notion-sync-write/SKILL.md","VC Notion Sync Write")</f>
        <v/>
      </c>
    </row>
    <row r="66" ht="18" customHeight="1" s="12">
      <c r="A66" s="15" t="inlineStr">
        <is>
          <t>Deal Pipeline</t>
        </is>
      </c>
      <c r="B66" s="15" t="inlineStr">
        <is>
          <t>Integration Support</t>
        </is>
      </c>
      <c r="C66" s="16">
        <f>HYPERLINK('Link Config'!$B$2&amp;"plugins/vc/tasks/notion-setup.md","Set Up Notion for Deal Pipelines")</f>
        <v/>
      </c>
      <c r="D66" s="16">
        <f>HYPERLINK('Link Config'!$B$2&amp;"plugins/vc/skills/citation-enforcement/SKILL.md","Citation Enforcement")</f>
        <v/>
      </c>
    </row>
    <row r="67" ht="18" customHeight="1" s="12">
      <c r="A67" s="15" t="inlineStr">
        <is>
          <t>Deal Pipeline</t>
        </is>
      </c>
      <c r="B67" s="15" t="inlineStr">
        <is>
          <t>Integration Support</t>
        </is>
      </c>
      <c r="C67" s="16">
        <f>HYPERLINK('Link Config'!$B$2&amp;"plugins/vc/tasks/slack-setup.md","Set Up Slack for Deal Pipelines")</f>
        <v/>
      </c>
      <c r="D67" s="16">
        <f>HYPERLINK('Link Config'!$B$2&amp;"plugins/vc/skills/vc-slack-discovery/SKILL.md","VC Slack Discovery")</f>
        <v/>
      </c>
    </row>
    <row r="68" ht="18" customHeight="1" s="12">
      <c r="A68" s="15" t="inlineStr">
        <is>
          <t>Deal Pipeline</t>
        </is>
      </c>
      <c r="B68" s="15" t="inlineStr">
        <is>
          <t>Integration Support</t>
        </is>
      </c>
      <c r="C68" s="16">
        <f>HYPERLINK('Link Config'!$B$2&amp;"plugins/vc/tasks/slack-setup.md","Set Up Slack for Deal Pipelines")</f>
        <v/>
      </c>
      <c r="D68" s="16">
        <f>HYPERLINK('Link Config'!$B$2&amp;"plugins/vc/skills/vc-slack-sync-read/SKILL.md","VC Slack Sync Read")</f>
        <v/>
      </c>
    </row>
    <row r="69" ht="18" customHeight="1" s="12">
      <c r="A69" s="15" t="inlineStr">
        <is>
          <t>Deal Pipeline</t>
        </is>
      </c>
      <c r="B69" s="15" t="inlineStr">
        <is>
          <t>Integration Support</t>
        </is>
      </c>
      <c r="C69" s="16">
        <f>HYPERLINK('Link Config'!$B$2&amp;"plugins/vc/tasks/slack-setup.md","Set Up Slack for Deal Pipelines")</f>
        <v/>
      </c>
      <c r="D69" s="16">
        <f>HYPERLINK('Link Config'!$B$2&amp;"plugins/vc/skills/vc-slack-sync-write/SKILL.md","VC Slack Sync Write")</f>
        <v/>
      </c>
    </row>
    <row r="70" ht="18" customHeight="1" s="12">
      <c r="A70" s="15" t="inlineStr">
        <is>
          <t>Deal Pipeline</t>
        </is>
      </c>
      <c r="B70" s="15" t="inlineStr">
        <is>
          <t>Integration Support</t>
        </is>
      </c>
      <c r="C70" s="16">
        <f>HYPERLINK('Link Config'!$B$2&amp;"plugins/vc/tasks/slack-setup.md","Set Up Slack for Deal Pipelines")</f>
        <v/>
      </c>
      <c r="D70" s="16">
        <f>HYPERLINK('Link Config'!$B$2&amp;"plugins/vc/skills/citation-enforcement/SKILL.md","Citation Enforcement")</f>
        <v/>
      </c>
    </row>
    <row r="71" ht="18" customHeight="1" s="12">
      <c r="A71" s="15" t="inlineStr">
        <is>
          <t>Deal Pipeline</t>
        </is>
      </c>
      <c r="B71" s="15" t="inlineStr">
        <is>
          <t>Screening</t>
        </is>
      </c>
      <c r="C71" s="16">
        <f>HYPERLINK('Link Config'!$B$2&amp;"plugins/vc/tasks/run-investment-screen.md","Run Investment Fit Screen")</f>
        <v/>
      </c>
      <c r="D71" s="16">
        <f>HYPERLINK('Link Config'!$B$2&amp;"plugins/vc/skills/investment-screening-framework/SKILL.md","Investment Screening Framework")</f>
        <v/>
      </c>
    </row>
    <row r="72" ht="18" customHeight="1" s="12">
      <c r="A72" s="15" t="inlineStr">
        <is>
          <t>Deal Pipeline</t>
        </is>
      </c>
      <c r="B72" s="15" t="inlineStr">
        <is>
          <t>Screening</t>
        </is>
      </c>
      <c r="C72" s="16">
        <f>HYPERLINK('Link Config'!$B$2&amp;"plugins/vc/tasks/run-investment-screen.md","Run Investment Fit Screen")</f>
        <v/>
      </c>
      <c r="D72" s="16">
        <f>HYPERLINK('Link Config'!$B$2&amp;"plugins/vc/skills/red-flags-scanner/SKILL.md","Red Flags Scanner")</f>
        <v/>
      </c>
    </row>
    <row r="73" ht="18" customHeight="1" s="12">
      <c r="A73" s="15" t="inlineStr">
        <is>
          <t>Deal Pipeline</t>
        </is>
      </c>
      <c r="B73" s="15" t="inlineStr">
        <is>
          <t>Screening</t>
        </is>
      </c>
      <c r="C73" s="16">
        <f>HYPERLINK('Link Config'!$B$2&amp;"plugins/vc/tasks/run-investment-screen.md","Run Investment Fit Screen")</f>
        <v/>
      </c>
      <c r="D73" s="16">
        <f>HYPERLINK('Link Config'!$B$2&amp;"plugins/vc/skills/citation-enforcement/SKILL.md","Citation Enforcement")</f>
        <v/>
      </c>
    </row>
    <row r="74" ht="18" customHeight="1" s="12">
      <c r="A74" s="15" t="inlineStr">
        <is>
          <t>Deal Pipeline</t>
        </is>
      </c>
      <c r="B74" s="15" t="inlineStr">
        <is>
          <t>Evaluation</t>
        </is>
      </c>
      <c r="C74" s="16">
        <f>HYPERLINK('Link Config'!$B$2&amp;"plugins/vc/tasks/run-follow-up-evaluation.md","Run Opportunity Evaluation")</f>
        <v/>
      </c>
      <c r="D74" s="16">
        <f>HYPERLINK('Link Config'!$B$2&amp;"plugins/vc/skills/investment-diligence-question-framework/SKILL.md","Investment Diligence Question Framework")</f>
        <v/>
      </c>
    </row>
    <row r="75" ht="18" customHeight="1" s="12">
      <c r="A75" s="15" t="inlineStr">
        <is>
          <t>Deal Pipeline</t>
        </is>
      </c>
      <c r="B75" s="15" t="inlineStr">
        <is>
          <t>Evaluation</t>
        </is>
      </c>
      <c r="C75" s="16">
        <f>HYPERLINK('Link Config'!$B$2&amp;"plugins/vc/tasks/run-follow-up-evaluation.md","Run Opportunity Evaluation")</f>
        <v/>
      </c>
      <c r="D75" s="16">
        <f>HYPERLINK('Link Config'!$B$2&amp;"plugins/vc/skills/red-flags-scanner/SKILL.md","Red Flags Scanner")</f>
        <v/>
      </c>
    </row>
    <row r="76" ht="18" customHeight="1" s="12">
      <c r="A76" s="15" t="inlineStr">
        <is>
          <t>Deal Pipeline</t>
        </is>
      </c>
      <c r="B76" s="15" t="inlineStr">
        <is>
          <t>Evaluation</t>
        </is>
      </c>
      <c r="C76" s="16">
        <f>HYPERLINK('Link Config'!$B$2&amp;"plugins/vc/tasks/run-follow-up-evaluation.md","Run Opportunity Evaluation")</f>
        <v/>
      </c>
      <c r="D76" s="16">
        <f>HYPERLINK('Link Config'!$B$2&amp;"plugins/vc/skills/citation-enforcement/SKILL.md","Citation Enforcement")</f>
        <v/>
      </c>
    </row>
    <row r="77" ht="18" customHeight="1" s="12">
      <c r="A77" s="15" t="inlineStr">
        <is>
          <t>Deal Pipeline</t>
        </is>
      </c>
      <c r="B77" s="15" t="inlineStr">
        <is>
          <t>Evaluation</t>
        </is>
      </c>
      <c r="C77" s="16">
        <f>HYPERLINK('Link Config'!$B$2&amp;"plugins/vc/tasks/run-commercial-evaluation.md","Run Commercial Evaluation")</f>
        <v/>
      </c>
      <c r="D77" s="16">
        <f>HYPERLINK('Link Config'!$B$2&amp;"plugins/vc/skills/commercial-evaluation-and-market-risk/SKILL.md","Commercial Evaluation &amp; Market Risk")</f>
        <v/>
      </c>
    </row>
    <row r="78" ht="18" customHeight="1" s="12">
      <c r="A78" s="15" t="inlineStr">
        <is>
          <t>Deal Pipeline</t>
        </is>
      </c>
      <c r="B78" s="15" t="inlineStr">
        <is>
          <t>Evaluation</t>
        </is>
      </c>
      <c r="C78" s="16">
        <f>HYPERLINK('Link Config'!$B$2&amp;"plugins/vc/tasks/run-commercial-evaluation.md","Run Commercial Evaluation")</f>
        <v/>
      </c>
      <c r="D78" s="16">
        <f>HYPERLINK('Link Config'!$B$2&amp;"plugins/vc/skills/citation-enforcement/SKILL.md","Citation Enforcement")</f>
        <v/>
      </c>
    </row>
    <row r="79" ht="18" customHeight="1" s="12">
      <c r="A79" s="15" t="inlineStr">
        <is>
          <t>Deal Pipeline</t>
        </is>
      </c>
      <c r="B79" s="15" t="inlineStr">
        <is>
          <t>Evaluation</t>
        </is>
      </c>
      <c r="C79" s="16">
        <f>HYPERLINK('Link Config'!$B$2&amp;"plugins/vc/tasks/run-technical-evaluation.md","Run Technical Evaluation")</f>
        <v/>
      </c>
      <c r="D79" s="16">
        <f>HYPERLINK('Link Config'!$B$2&amp;"plugins/vc/skills/technical-evaluation-and-product-risk/SKILL.md","Technical Evaluation &amp; Product Risk")</f>
        <v/>
      </c>
    </row>
    <row r="80" ht="18" customHeight="1" s="12">
      <c r="A80" s="15" t="inlineStr">
        <is>
          <t>Deal Pipeline</t>
        </is>
      </c>
      <c r="B80" s="15" t="inlineStr">
        <is>
          <t>Evaluation</t>
        </is>
      </c>
      <c r="C80" s="16">
        <f>HYPERLINK('Link Config'!$B$2&amp;"plugins/vc/tasks/run-technical-evaluation.md","Run Technical Evaluation")</f>
        <v/>
      </c>
      <c r="D80" s="16">
        <f>HYPERLINK('Link Config'!$B$2&amp;"plugins/vc/skills/red-flags-scanner/SKILL.md","Red Flags Scanner")</f>
        <v/>
      </c>
    </row>
    <row r="81" ht="18" customHeight="1" s="12">
      <c r="A81" s="15" t="inlineStr">
        <is>
          <t>Deal Pipeline</t>
        </is>
      </c>
      <c r="B81" s="15" t="inlineStr">
        <is>
          <t>Evaluation</t>
        </is>
      </c>
      <c r="C81" s="16">
        <f>HYPERLINK('Link Config'!$B$2&amp;"plugins/vc/tasks/run-technical-evaluation.md","Run Technical Evaluation")</f>
        <v/>
      </c>
      <c r="D81" s="16">
        <f>HYPERLINK('Link Config'!$B$2&amp;"plugins/vc/skills/citation-enforcement/SKILL.md","Citation Enforcement")</f>
        <v/>
      </c>
    </row>
    <row r="82" ht="18" customHeight="1" s="12">
      <c r="A82" s="15" t="inlineStr">
        <is>
          <t>Deal Pipeline</t>
        </is>
      </c>
      <c r="B82" s="15" t="inlineStr">
        <is>
          <t>Evaluation</t>
        </is>
      </c>
      <c r="C82" s="16">
        <f>HYPERLINK('Link Config'!$B$2&amp;"plugins/vc/tasks/run-financial-evaluation.md","Run Financial Evaluation")</f>
        <v/>
      </c>
      <c r="D82" s="16">
        <f>HYPERLINK('Link Config'!$B$2&amp;"plugins/vc/skills/financial-evaluation-and-financing-risk/SKILL.md","Financial Evaluation &amp; Financing Risk")</f>
        <v/>
      </c>
    </row>
    <row r="83" ht="18" customHeight="1" s="12">
      <c r="A83" s="15" t="inlineStr">
        <is>
          <t>Deal Pipeline</t>
        </is>
      </c>
      <c r="B83" s="15" t="inlineStr">
        <is>
          <t>Evaluation</t>
        </is>
      </c>
      <c r="C83" s="16">
        <f>HYPERLINK('Link Config'!$B$2&amp;"plugins/vc/tasks/run-financial-evaluation.md","Run Financial Evaluation")</f>
        <v/>
      </c>
      <c r="D83" s="16">
        <f>HYPERLINK('Link Config'!$B$2&amp;"plugins/vc/skills/citation-enforcement/SKILL.md","Citation Enforcement")</f>
        <v/>
      </c>
    </row>
    <row r="84" ht="18" customHeight="1" s="12">
      <c r="A84" s="15" t="inlineStr">
        <is>
          <t>Deal Pipeline</t>
        </is>
      </c>
      <c r="B84" s="15" t="inlineStr">
        <is>
          <t>Evaluation</t>
        </is>
      </c>
      <c r="C84" s="16">
        <f>HYPERLINK('Link Config'!$B$2&amp;"plugins/vc/tasks/run-team-evaluation.md","Run Team Evaluation")</f>
        <v/>
      </c>
      <c r="D84" s="16">
        <f>HYPERLINK('Link Config'!$B$2&amp;"plugins/vc/skills/team-evaluation-and-founder-risk/SKILL.md","Team Evaluation &amp; Founder Risk")</f>
        <v/>
      </c>
    </row>
    <row r="85" ht="18" customHeight="1" s="12">
      <c r="A85" s="15" t="inlineStr">
        <is>
          <t>Deal Pipeline</t>
        </is>
      </c>
      <c r="B85" s="15" t="inlineStr">
        <is>
          <t>Evaluation</t>
        </is>
      </c>
      <c r="C85" s="16">
        <f>HYPERLINK('Link Config'!$B$2&amp;"plugins/vc/tasks/run-team-evaluation.md","Run Team Evaluation")</f>
        <v/>
      </c>
      <c r="D85" s="16">
        <f>HYPERLINK('Link Config'!$B$2&amp;"plugins/vc/skills/red-flags-scanner/SKILL.md","Red Flags Scanner")</f>
        <v/>
      </c>
    </row>
    <row r="86" ht="18" customHeight="1" s="12">
      <c r="A86" s="15" t="inlineStr">
        <is>
          <t>Deal Pipeline</t>
        </is>
      </c>
      <c r="B86" s="15" t="inlineStr">
        <is>
          <t>Evaluation</t>
        </is>
      </c>
      <c r="C86" s="16">
        <f>HYPERLINK('Link Config'!$B$2&amp;"plugins/vc/tasks/run-team-evaluation.md","Run Team Evaluation")</f>
        <v/>
      </c>
      <c r="D86" s="16">
        <f>HYPERLINK('Link Config'!$B$2&amp;"plugins/vc/skills/citation-enforcement/SKILL.md","Citation Enforcement")</f>
        <v/>
      </c>
    </row>
    <row r="87" ht="18" customHeight="1" s="12">
      <c r="A87" s="15" t="inlineStr">
        <is>
          <t>Deal Pipeline</t>
        </is>
      </c>
      <c r="B87" s="15" t="inlineStr">
        <is>
          <t>Evaluation</t>
        </is>
      </c>
      <c r="C87" s="16">
        <f>HYPERLINK('Link Config'!$B$2&amp;"plugins/vc/tasks/generate-diligence-questions.md","Generate Diligence Questions")</f>
        <v/>
      </c>
      <c r="D87" s="16">
        <f>HYPERLINK('Link Config'!$B$2&amp;"plugins/vc/skills/investment-diligence-question-framework/SKILL.md","Investment Diligence Question Framework")</f>
        <v/>
      </c>
    </row>
    <row r="88" ht="18" customHeight="1" s="12">
      <c r="A88" s="15" t="inlineStr">
        <is>
          <t>Deal Pipeline</t>
        </is>
      </c>
      <c r="B88" s="15" t="inlineStr">
        <is>
          <t>Evaluation</t>
        </is>
      </c>
      <c r="C88" s="16">
        <f>HYPERLINK('Link Config'!$B$2&amp;"plugins/vc/tasks/generate-diligence-questions.md","Generate Diligence Questions")</f>
        <v/>
      </c>
      <c r="D88" s="16">
        <f>HYPERLINK('Link Config'!$B$2&amp;"plugins/vc/skills/citation-enforcement/SKILL.md","Citation Enforcement")</f>
        <v/>
      </c>
    </row>
    <row r="89" ht="18" customHeight="1" s="12">
      <c r="A89" s="15" t="inlineStr">
        <is>
          <t>Deal Pipeline</t>
        </is>
      </c>
      <c r="B89" s="15" t="inlineStr">
        <is>
          <t>Decision Review</t>
        </is>
      </c>
      <c r="C89" s="16">
        <f>HYPERLINK('Link Config'!$B$2&amp;"plugins/vc/tasks/prepare-team-review-pack.md","Prepare Team Review Pack")</f>
        <v/>
      </c>
      <c r="D89" s="16">
        <f>HYPERLINK('Link Config'!$B$2&amp;"plugins/vc/skills/ic-memo-assembly/SKILL.md","IC Memo Assembly")</f>
        <v/>
      </c>
    </row>
    <row r="90" ht="18" customHeight="1" s="12">
      <c r="A90" s="15" t="inlineStr">
        <is>
          <t>Deal Pipeline</t>
        </is>
      </c>
      <c r="B90" s="15" t="inlineStr">
        <is>
          <t>Decision Review</t>
        </is>
      </c>
      <c r="C90" s="16">
        <f>HYPERLINK('Link Config'!$B$2&amp;"plugins/vc/tasks/prepare-team-review-pack.md","Prepare Team Review Pack")</f>
        <v/>
      </c>
      <c r="D90" s="16">
        <f>HYPERLINK('Link Config'!$B$2&amp;"plugins/vc/skills/citation-enforcement/SKILL.md","Citation Enforcement")</f>
        <v/>
      </c>
    </row>
    <row r="91" ht="18" customHeight="1" s="12">
      <c r="A91" s="15" t="inlineStr">
        <is>
          <t>Deal Pipeline</t>
        </is>
      </c>
      <c r="B91" s="15" t="inlineStr">
        <is>
          <t>Decision Review</t>
        </is>
      </c>
      <c r="C91" s="16">
        <f>HYPERLINK('Link Config'!$B$2&amp;"plugins/vc/tasks/prepare-partner-review-pack.md","Prepare Partner Review Pack")</f>
        <v/>
      </c>
      <c r="D91" s="16">
        <f>HYPERLINK('Link Config'!$B$2&amp;"plugins/vc/skills/ic-memo-assembly/SKILL.md","IC Memo Assembly")</f>
        <v/>
      </c>
    </row>
    <row r="92" ht="18" customHeight="1" s="12">
      <c r="A92" s="15" t="inlineStr">
        <is>
          <t>Deal Pipeline</t>
        </is>
      </c>
      <c r="B92" s="15" t="inlineStr">
        <is>
          <t>Decision Review</t>
        </is>
      </c>
      <c r="C92" s="16">
        <f>HYPERLINK('Link Config'!$B$2&amp;"plugins/vc/tasks/prepare-partner-review-pack.md","Prepare Partner Review Pack")</f>
        <v/>
      </c>
      <c r="D92" s="16">
        <f>HYPERLINK('Link Config'!$B$2&amp;"plugins/vc/skills/citation-enforcement/SKILL.md","Citation Enforcement")</f>
        <v/>
      </c>
    </row>
    <row r="93" ht="18" customHeight="1" s="12">
      <c r="A93" s="15" t="inlineStr">
        <is>
          <t>Deal Pipeline</t>
        </is>
      </c>
      <c r="B93" s="15" t="inlineStr">
        <is>
          <t>Decision Review</t>
        </is>
      </c>
      <c r="C93" s="16">
        <f>HYPERLINK('Link Config'!$B$2&amp;"plugins/vc/tasks/create-ic-memo.md","Create IC Memo")</f>
        <v/>
      </c>
      <c r="D93" s="16">
        <f>HYPERLINK('Link Config'!$B$2&amp;"plugins/vc/skills/ic-memo-assembly/SKILL.md","IC Memo Assembly")</f>
        <v/>
      </c>
    </row>
    <row r="94" ht="18" customHeight="1" s="12">
      <c r="A94" s="15" t="inlineStr">
        <is>
          <t>Deal Pipeline</t>
        </is>
      </c>
      <c r="B94" s="15" t="inlineStr">
        <is>
          <t>Decision Review</t>
        </is>
      </c>
      <c r="C94" s="16">
        <f>HYPERLINK('Link Config'!$B$2&amp;"plugins/vc/tasks/create-ic-memo.md","Create IC Memo")</f>
        <v/>
      </c>
      <c r="D94" s="16">
        <f>HYPERLINK('Link Config'!$B$2&amp;"plugins/vc/skills/citation-enforcement/SKILL.md","Citation Enforcement")</f>
        <v/>
      </c>
    </row>
    <row r="95" ht="18" customHeight="1" s="12">
      <c r="A95" s="15" t="inlineStr">
        <is>
          <t>Deal Pipeline</t>
        </is>
      </c>
      <c r="B95" s="15" t="inlineStr">
        <is>
          <t>Decision Review</t>
        </is>
      </c>
      <c r="C95" s="16">
        <f>HYPERLINK('Link Config'!$B$2&amp;"plugins/vc/tasks/create-ic-memo.md","Create IC Memo")</f>
        <v/>
      </c>
      <c r="D95" s="16">
        <f>HYPERLINK('Link Config'!$B$2&amp;"plugins/vc/skills/ic-risk-checklist-and-decision-log/SKILL.md","IC Risk Checklist &amp; Decision Log")</f>
        <v/>
      </c>
    </row>
    <row r="96" ht="18" customHeight="1" s="12">
      <c r="A96" s="15" t="inlineStr">
        <is>
          <t>Deal Pipeline</t>
        </is>
      </c>
      <c r="B96" s="15" t="inlineStr">
        <is>
          <t>Decision Review</t>
        </is>
      </c>
      <c r="C96" s="16">
        <f>HYPERLINK('Link Config'!$B$2&amp;"plugins/vc/tasks/prepare-ic-agenda.md","Prepare IC Agenda")</f>
        <v/>
      </c>
      <c r="D96" s="16">
        <f>HYPERLINK('Link Config'!$B$2&amp;"plugins/vc/skills/meeting-prep-and-summary/SKILL.md","Meeting Prep &amp; Summary")</f>
        <v/>
      </c>
    </row>
    <row r="97" ht="18" customHeight="1" s="12">
      <c r="A97" s="15" t="inlineStr">
        <is>
          <t>Deal Pipeline</t>
        </is>
      </c>
      <c r="B97" s="15" t="inlineStr">
        <is>
          <t>Decision Review</t>
        </is>
      </c>
      <c r="C97" s="16">
        <f>HYPERLINK('Link Config'!$B$2&amp;"plugins/vc/tasks/prepare-ic-agenda.md","Prepare IC Agenda")</f>
        <v/>
      </c>
      <c r="D97" s="16">
        <f>HYPERLINK('Link Config'!$B$2&amp;"plugins/vc/skills/citation-enforcement/SKILL.md","Citation Enforcement")</f>
        <v/>
      </c>
    </row>
    <row r="98" ht="18" customHeight="1" s="12">
      <c r="A98" s="15" t="inlineStr">
        <is>
          <t>Deal Pipeline</t>
        </is>
      </c>
      <c r="B98" s="15" t="inlineStr">
        <is>
          <t>Decision Review</t>
        </is>
      </c>
      <c r="C98" s="16">
        <f>HYPERLINK('Link Config'!$B$2&amp;"plugins/vc/tasks/prepare-ic-agenda.md","Prepare IC Agenda")</f>
        <v/>
      </c>
      <c r="D98" s="16">
        <f>HYPERLINK('Link Config'!$B$2&amp;"plugins/vc/skills/ic-risk-checklist-and-decision-log/SKILL.md","IC Risk Checklist &amp; Decision Log")</f>
        <v/>
      </c>
    </row>
    <row r="99" ht="18" customHeight="1" s="12">
      <c r="A99" s="15" t="inlineStr">
        <is>
          <t>Deal Pipeline</t>
        </is>
      </c>
      <c r="B99" s="15" t="inlineStr">
        <is>
          <t>Decision Review</t>
        </is>
      </c>
      <c r="C99" s="16">
        <f>HYPERLINK('Link Config'!$B$2&amp;"plugins/vc/tasks/review-ic-memo.md","Review IC Memo")</f>
        <v/>
      </c>
      <c r="D99" s="16">
        <f>HYPERLINK('Link Config'!$B$2&amp;"plugins/vc/skills/citation-enforcement/SKILL.md","Citation Enforcement")</f>
        <v/>
      </c>
    </row>
    <row r="100" ht="18" customHeight="1" s="12">
      <c r="A100" s="15" t="inlineStr">
        <is>
          <t>Deal Pipeline</t>
        </is>
      </c>
      <c r="B100" s="15" t="inlineStr">
        <is>
          <t>Decision Review</t>
        </is>
      </c>
      <c r="C100" s="16">
        <f>HYPERLINK('Link Config'!$B$2&amp;"plugins/vc/tasks/review-ic-memo.md","Review IC Memo")</f>
        <v/>
      </c>
      <c r="D100" s="16">
        <f>HYPERLINK('Link Config'!$B$2&amp;"plugins/vc/skills/ic-memo-assembly/SKILL.md","IC Memo Assembly")</f>
        <v/>
      </c>
    </row>
    <row r="101" ht="18" customHeight="1" s="12">
      <c r="A101" s="15" t="inlineStr">
        <is>
          <t>Deal Pipeline</t>
        </is>
      </c>
      <c r="B101" s="15" t="inlineStr">
        <is>
          <t>Decision Review</t>
        </is>
      </c>
      <c r="C101" s="16">
        <f>HYPERLINK('Link Config'!$B$2&amp;"plugins/vc/tasks/review-ic-memo.md","Review IC Memo")</f>
        <v/>
      </c>
      <c r="D101" s="16">
        <f>HYPERLINK('Link Config'!$B$2&amp;"plugins/vc/skills/ic-risk-checklist-and-decision-log/SKILL.md","IC Risk Checklist &amp; Decision Log")</f>
        <v/>
      </c>
    </row>
    <row r="102" ht="18" customHeight="1" s="12">
      <c r="A102" s="15" t="inlineStr">
        <is>
          <t>Deal Pipeline</t>
        </is>
      </c>
      <c r="B102" s="15" t="inlineStr">
        <is>
          <t>Decision Review</t>
        </is>
      </c>
      <c r="C102" s="16">
        <f>HYPERLINK('Link Config'!$B$2&amp;"plugins/vc/tasks/record-ic-decision.md","Record IC Decision")</f>
        <v/>
      </c>
      <c r="D102" s="16">
        <f>HYPERLINK('Link Config'!$B$2&amp;"plugins/vc/skills/citation-enforcement/SKILL.md","Citation Enforcement")</f>
        <v/>
      </c>
    </row>
    <row r="103" ht="18" customHeight="1" s="12">
      <c r="A103" s="15" t="inlineStr">
        <is>
          <t>Deal Pipeline</t>
        </is>
      </c>
      <c r="B103" s="15" t="inlineStr">
        <is>
          <t>Decision Review</t>
        </is>
      </c>
      <c r="C103" s="16">
        <f>HYPERLINK('Link Config'!$B$2&amp;"plugins/vc/tasks/record-ic-decision.md","Record IC Decision")</f>
        <v/>
      </c>
      <c r="D103" s="16">
        <f>HYPERLINK('Link Config'!$B$2&amp;"plugins/vc/skills/ic-risk-checklist-and-decision-log/SKILL.md","IC Risk Checklist &amp; Decision Log")</f>
        <v/>
      </c>
    </row>
    <row r="104" ht="18" customHeight="1" s="12">
      <c r="A104" s="15" t="inlineStr">
        <is>
          <t>Deal Pipeline</t>
        </is>
      </c>
      <c r="B104" s="15" t="inlineStr">
        <is>
          <t>Decision Review</t>
        </is>
      </c>
      <c r="C104" s="16">
        <f>HYPERLINK('Link Config'!$B$2&amp;"plugins/vc/tasks/record-ic-decision.md","Record IC Decision")</f>
        <v/>
      </c>
      <c r="D104" s="16">
        <f>HYPERLINK('Link Config'!$B$2&amp;"plugins/vc/skills/vc-task-and-next-step-generation/SKILL.md","VC Task &amp; Next-Step Generation")</f>
        <v/>
      </c>
    </row>
    <row r="105" ht="18" customHeight="1" s="12">
      <c r="A105" s="15" t="inlineStr">
        <is>
          <t>Deal Pipeline</t>
        </is>
      </c>
      <c r="B105" s="15" t="inlineStr">
        <is>
          <t>Deal Structuring</t>
        </is>
      </c>
      <c r="C105" s="16">
        <f>HYPERLINK('Link Config'!$B$2&amp;"plugins/vc/tasks/analyze-deal-terms.md","Analyze Deal Terms")</f>
        <v/>
      </c>
      <c r="D105" s="16">
        <f>HYPERLINK('Link Config'!$B$2&amp;"plugins/vc/skills/deal-terms-analysis/SKILL.md","Deal Terms Analysis")</f>
        <v/>
      </c>
    </row>
    <row r="106" ht="18" customHeight="1" s="12">
      <c r="A106" s="15" t="inlineStr">
        <is>
          <t>Deal Pipeline</t>
        </is>
      </c>
      <c r="B106" s="15" t="inlineStr">
        <is>
          <t>Deal Structuring</t>
        </is>
      </c>
      <c r="C106" s="16">
        <f>HYPERLINK('Link Config'!$B$2&amp;"plugins/vc/tasks/analyze-deal-terms.md","Analyze Deal Terms")</f>
        <v/>
      </c>
      <c r="D106" s="16">
        <f>HYPERLINK('Link Config'!$B$2&amp;"plugins/vc/skills/citation-enforcement/SKILL.md","Citation Enforcement")</f>
        <v/>
      </c>
    </row>
    <row r="107" ht="18" customHeight="1" s="12">
      <c r="A107" s="15" t="inlineStr">
        <is>
          <t>Deal Pipeline</t>
        </is>
      </c>
      <c r="B107" s="15" t="inlineStr">
        <is>
          <t>Deal Structuring</t>
        </is>
      </c>
      <c r="C107" s="16">
        <f>HYPERLINK('Link Config'!$B$2&amp;"plugins/vc/tasks/track-term-sheet-negotiation.md","Track Term Sheet Negotiation")</f>
        <v/>
      </c>
      <c r="D107" s="16">
        <f>HYPERLINK('Link Config'!$B$2&amp;"plugins/vc/skills/term-sheet-negotiation-brief/SKILL.md","Term Sheet Negotiation Brief")</f>
        <v/>
      </c>
    </row>
    <row r="108" ht="18" customHeight="1" s="12">
      <c r="A108" s="15" t="inlineStr">
        <is>
          <t>Deal Pipeline</t>
        </is>
      </c>
      <c r="B108" s="15" t="inlineStr">
        <is>
          <t>Deal Structuring</t>
        </is>
      </c>
      <c r="C108" s="16">
        <f>HYPERLINK('Link Config'!$B$2&amp;"plugins/vc/tasks/track-term-sheet-negotiation.md","Track Term Sheet Negotiation")</f>
        <v/>
      </c>
      <c r="D108" s="16">
        <f>HYPERLINK('Link Config'!$B$2&amp;"plugins/vc/skills/deal-terms-analysis/SKILL.md","Deal Terms Analysis")</f>
        <v/>
      </c>
    </row>
    <row r="109" ht="18" customHeight="1" s="12">
      <c r="A109" s="15" t="inlineStr">
        <is>
          <t>Deal Pipeline</t>
        </is>
      </c>
      <c r="B109" s="15" t="inlineStr">
        <is>
          <t>Deal Structuring</t>
        </is>
      </c>
      <c r="C109" s="16">
        <f>HYPERLINK('Link Config'!$B$2&amp;"plugins/vc/tasks/track-term-sheet-negotiation.md","Track Term Sheet Negotiation")</f>
        <v/>
      </c>
      <c r="D109" s="16">
        <f>HYPERLINK('Link Config'!$B$2&amp;"plugins/vc/skills/citation-enforcement/SKILL.md","Citation Enforcement")</f>
        <v/>
      </c>
    </row>
    <row r="110" ht="18" customHeight="1" s="12">
      <c r="A110" s="15" t="inlineStr">
        <is>
          <t>Deal Pipeline</t>
        </is>
      </c>
      <c r="B110" s="15" t="inlineStr">
        <is>
          <t>Deal Structuring</t>
        </is>
      </c>
      <c r="C110" s="16">
        <f>HYPERLINK('Link Config'!$B$2&amp;"plugins/vc/tasks/review-term-sheet.md","Review Term Sheet")</f>
        <v/>
      </c>
      <c r="D110" s="16">
        <f>HYPERLINK('Link Config'!$B$2&amp;"plugins/vc/skills/red-flags-scanner/SKILL.md","Red Flags Scanner")</f>
        <v/>
      </c>
    </row>
    <row r="111" ht="18" customHeight="1" s="12">
      <c r="A111" s="15" t="inlineStr">
        <is>
          <t>Deal Pipeline</t>
        </is>
      </c>
      <c r="B111" s="15" t="inlineStr">
        <is>
          <t>Deal Structuring</t>
        </is>
      </c>
      <c r="C111" s="16">
        <f>HYPERLINK('Link Config'!$B$2&amp;"plugins/vc/tasks/review-term-sheet.md","Review Term Sheet")</f>
        <v/>
      </c>
      <c r="D111" s="16">
        <f>HYPERLINK('Link Config'!$B$2&amp;"plugins/vc/skills/citation-enforcement/SKILL.md","Citation Enforcement")</f>
        <v/>
      </c>
    </row>
    <row r="112" ht="18" customHeight="1" s="12">
      <c r="A112" s="15" t="inlineStr">
        <is>
          <t>Deal Pipeline</t>
        </is>
      </c>
      <c r="B112" s="15" t="inlineStr">
        <is>
          <t>Deal Structuring</t>
        </is>
      </c>
      <c r="C112" s="16">
        <f>HYPERLINK('Link Config'!$B$2&amp;"plugins/vc/tasks/review-term-sheet.md","Review Term Sheet")</f>
        <v/>
      </c>
      <c r="D112" s="16">
        <f>HYPERLINK('Link Config'!$B$2&amp;"plugins/vc/skills/closing-coordination-and-cp-tracking/SKILL.md","Closing Coordination &amp; CP Tracking")</f>
        <v/>
      </c>
    </row>
    <row r="113" ht="18" customHeight="1" s="12">
      <c r="A113" s="15" t="inlineStr">
        <is>
          <t>Origination Pipeline</t>
        </is>
      </c>
      <c r="B113" s="15" t="inlineStr">
        <is>
          <t>Setup</t>
        </is>
      </c>
      <c r="C113" s="16">
        <f>HYPERLINK('Link Config'!$B$2&amp;"plugins/vc/tasks/configure-origination-pipeline.md","Configure Origination Pipeline")</f>
        <v/>
      </c>
      <c r="D113" s="16">
        <f>HYPERLINK('Link Config'!$B$2&amp;"plugins/vc/skills/vc-origination-pipeline-orchestration/SKILL.md","Origination Pipeline Orchestration")</f>
        <v/>
      </c>
    </row>
    <row r="114" ht="18" customHeight="1" s="12">
      <c r="A114" s="15" t="inlineStr">
        <is>
          <t>Origination Pipeline</t>
        </is>
      </c>
      <c r="B114" s="15" t="inlineStr">
        <is>
          <t>Setup</t>
        </is>
      </c>
      <c r="C114" s="16">
        <f>HYPERLINK('Link Config'!$B$2&amp;"plugins/vc/tasks/configure-origination-pipeline.md","Configure Origination Pipeline")</f>
        <v/>
      </c>
      <c r="D114" s="16">
        <f>HYPERLINK('Link Config'!$B$2&amp;"plugins/vc/skills/citation-enforcement/SKILL.md","Citation Enforcement")</f>
        <v/>
      </c>
    </row>
    <row r="115" ht="18" customHeight="1" s="12">
      <c r="A115" s="15" t="inlineStr">
        <is>
          <t>Origination Pipeline</t>
        </is>
      </c>
      <c r="B115" s="15" t="inlineStr">
        <is>
          <t>Setup</t>
        </is>
      </c>
      <c r="C115" s="16">
        <f>HYPERLINK('Link Config'!$B$2&amp;"plugins/vc/tasks/apify-setup.md","Set Up Apify for Origination")</f>
        <v/>
      </c>
      <c r="D115" s="16">
        <f>HYPERLINK('Link Config'!$B$2&amp;"plugins/vc/skills/vc-apify-discovery/SKILL.md","VC Apify Discovery")</f>
        <v/>
      </c>
    </row>
    <row r="116" ht="18" customHeight="1" s="12">
      <c r="A116" s="15" t="inlineStr">
        <is>
          <t>Origination Pipeline</t>
        </is>
      </c>
      <c r="B116" s="15" t="inlineStr">
        <is>
          <t>Setup</t>
        </is>
      </c>
      <c r="C116" s="16">
        <f>HYPERLINK('Link Config'!$B$2&amp;"plugins/vc/tasks/apify-setup.md","Set Up Apify for Origination")</f>
        <v/>
      </c>
      <c r="D116" s="16">
        <f>HYPERLINK('Link Config'!$B$2&amp;"plugins/vc/skills/vc-apify-sync-read/SKILL.md","VC Apify Sync Read")</f>
        <v/>
      </c>
    </row>
    <row r="117" ht="18" customHeight="1" s="12">
      <c r="A117" s="15" t="inlineStr">
        <is>
          <t>Origination Pipeline</t>
        </is>
      </c>
      <c r="B117" s="15" t="inlineStr">
        <is>
          <t>Setup</t>
        </is>
      </c>
      <c r="C117" s="16">
        <f>HYPERLINK('Link Config'!$B$2&amp;"plugins/vc/tasks/apify-setup.md","Set Up Apify for Origination")</f>
        <v/>
      </c>
      <c r="D117" s="16">
        <f>HYPERLINK('Link Config'!$B$2&amp;"plugins/vc/skills/citation-enforcement/SKILL.md","Citation Enforcement")</f>
        <v/>
      </c>
    </row>
    <row r="118" ht="18" customHeight="1" s="12">
      <c r="A118" s="15" t="inlineStr">
        <is>
          <t>Origination Pipeline</t>
        </is>
      </c>
      <c r="B118" s="15" t="inlineStr">
        <is>
          <t>Setup</t>
        </is>
      </c>
      <c r="C118" s="16">
        <f>HYPERLINK('Link Config'!$B$2&amp;"plugins/vc/tasks/companies-house-setup.md","Configure Companies House Public Register Preview")</f>
        <v/>
      </c>
      <c r="D118" s="16">
        <f>HYPERLINK('Link Config'!$B$2&amp;"plugins/vc/skills/vc-companies-house-sourcing/SKILL.md","VC Companies House Sourcing")</f>
        <v/>
      </c>
    </row>
    <row r="119" ht="18" customHeight="1" s="12">
      <c r="A119" s="15" t="inlineStr">
        <is>
          <t>Origination Pipeline</t>
        </is>
      </c>
      <c r="B119" s="15" t="inlineStr">
        <is>
          <t>Setup</t>
        </is>
      </c>
      <c r="C119" s="16">
        <f>HYPERLINK('Link Config'!$B$2&amp;"plugins/vc/tasks/companies-house-setup.md","Configure Companies House Public Register Preview")</f>
        <v/>
      </c>
      <c r="D119" s="16">
        <f>HYPERLINK('Link Config'!$B$2&amp;"plugins/vc/skills/vc-companies-house-sync-read/SKILL.md","VC Companies House Sync Read")</f>
        <v/>
      </c>
    </row>
    <row r="120" ht="18" customHeight="1" s="12">
      <c r="A120" s="15" t="inlineStr">
        <is>
          <t>Origination Pipeline</t>
        </is>
      </c>
      <c r="B120" s="15" t="inlineStr">
        <is>
          <t>Setup</t>
        </is>
      </c>
      <c r="C120" s="16">
        <f>HYPERLINK('Link Config'!$B$2&amp;"plugins/vc/tasks/companies-house-setup.md","Configure Companies House Public Register Preview")</f>
        <v/>
      </c>
      <c r="D120" s="16">
        <f>HYPERLINK('Link Config'!$B$2&amp;"plugins/vc/skills/citation-enforcement/SKILL.md","Citation Enforcement")</f>
        <v/>
      </c>
    </row>
    <row r="121" ht="18" customHeight="1" s="12">
      <c r="A121" s="15" t="inlineStr">
        <is>
          <t>Origination Pipeline</t>
        </is>
      </c>
      <c r="B121" s="15" t="inlineStr">
        <is>
          <t>Pipeline Management</t>
        </is>
      </c>
      <c r="C121" s="16">
        <f>HYPERLINK('Link Config'!$B$2&amp;"plugins/vc/tasks/review-source-errors-and-spend.md","Review Source Errors and Spend")</f>
        <v/>
      </c>
      <c r="D121" s="16">
        <f>HYPERLINK('Link Config'!$B$2&amp;"plugins/vc/skills/vc-source-error-and-spend-audit/SKILL.md","VC Source Error &amp; Spend Audit")</f>
        <v/>
      </c>
    </row>
    <row r="122" ht="18" customHeight="1" s="12">
      <c r="A122" s="15" t="inlineStr">
        <is>
          <t>Origination Pipeline</t>
        </is>
      </c>
      <c r="B122" s="15" t="inlineStr">
        <is>
          <t>Pipeline Management</t>
        </is>
      </c>
      <c r="C122" s="16">
        <f>HYPERLINK('Link Config'!$B$2&amp;"plugins/vc/tasks/review-source-errors-and-spend.md","Review Source Errors and Spend")</f>
        <v/>
      </c>
      <c r="D122" s="16">
        <f>HYPERLINK('Link Config'!$B$2&amp;"plugins/vc/skills/vc-source-registry-and-state-management/SKILL.md","VC Source Registry &amp; State Management")</f>
        <v/>
      </c>
    </row>
    <row r="123" ht="18" customHeight="1" s="12">
      <c r="A123" s="15" t="inlineStr">
        <is>
          <t>Origination Pipeline</t>
        </is>
      </c>
      <c r="B123" s="15" t="inlineStr">
        <is>
          <t>Pipeline Management</t>
        </is>
      </c>
      <c r="C123" s="16">
        <f>HYPERLINK('Link Config'!$B$2&amp;"plugins/vc/tasks/review-source-errors-and-spend.md","Review Source Errors and Spend")</f>
        <v/>
      </c>
      <c r="D123" s="16">
        <f>HYPERLINK('Link Config'!$B$2&amp;"plugins/vc/skills/citation-enforcement/SKILL.md","Citation Enforcement")</f>
        <v/>
      </c>
    </row>
    <row r="124" ht="18" customHeight="1" s="12">
      <c r="A124" s="15" t="inlineStr">
        <is>
          <t>Origination Pipeline</t>
        </is>
      </c>
      <c r="B124" s="15" t="inlineStr">
        <is>
          <t>Integration Support</t>
        </is>
      </c>
      <c r="C124" s="16">
        <f>HYPERLINK('Link Config'!$B$2&amp;"plugins/vc/tasks/apify-discovery.md","Explore Apify Origination Sources")</f>
        <v/>
      </c>
      <c r="D124" s="16">
        <f>HYPERLINK('Link Config'!$B$2&amp;"plugins/vc/skills/vc-apify-discovery/SKILL.md","VC Apify Discovery")</f>
        <v/>
      </c>
    </row>
    <row r="125" ht="18" customHeight="1" s="12">
      <c r="A125" s="15" t="inlineStr">
        <is>
          <t>Origination Pipeline</t>
        </is>
      </c>
      <c r="B125" s="15" t="inlineStr">
        <is>
          <t>Integration Support</t>
        </is>
      </c>
      <c r="C125" s="16">
        <f>HYPERLINK('Link Config'!$B$2&amp;"plugins/vc/tasks/apify-discovery.md","Explore Apify Origination Sources")</f>
        <v/>
      </c>
      <c r="D125" s="16">
        <f>HYPERLINK('Link Config'!$B$2&amp;"plugins/vc/skills/citation-enforcement/SKILL.md","Citation Enforcement")</f>
        <v/>
      </c>
    </row>
    <row r="126" ht="18" customHeight="1" s="12">
      <c r="A126" s="15" t="inlineStr">
        <is>
          <t>Origination Pipeline</t>
        </is>
      </c>
      <c r="B126" s="15" t="inlineStr">
        <is>
          <t>Integration Support</t>
        </is>
      </c>
      <c r="C126" s="16">
        <f>HYPERLINK('Link Config'!$B$2&amp;"plugins/vc/tasks/companies-house-discovery.md","Explore Companies House Public Register Scope")</f>
        <v/>
      </c>
      <c r="D126" s="16">
        <f>HYPERLINK('Link Config'!$B$2&amp;"plugins/vc/skills/vc-companies-house-sourcing/SKILL.md","VC Companies House Sourcing")</f>
        <v/>
      </c>
    </row>
    <row r="127" ht="18" customHeight="1" s="12">
      <c r="A127" s="15" t="inlineStr">
        <is>
          <t>Origination Pipeline</t>
        </is>
      </c>
      <c r="B127" s="15" t="inlineStr">
        <is>
          <t>Integration Support</t>
        </is>
      </c>
      <c r="C127" s="16">
        <f>HYPERLINK('Link Config'!$B$2&amp;"plugins/vc/tasks/companies-house-discovery.md","Explore Companies House Public Register Scope")</f>
        <v/>
      </c>
      <c r="D127" s="16">
        <f>HYPERLINK('Link Config'!$B$2&amp;"plugins/vc/skills/citation-enforcement/SKILL.md","Citation Enforcement")</f>
        <v/>
      </c>
    </row>
    <row r="128" ht="18" customHeight="1" s="12">
      <c r="A128" s="15" t="inlineStr">
        <is>
          <t>Origination Pipeline</t>
        </is>
      </c>
      <c r="B128" s="15" t="inlineStr">
        <is>
          <t>Pipeline Management</t>
        </is>
      </c>
      <c r="C128" s="16">
        <f>HYPERLINK('Link Config'!$B$2&amp;"plugins/vc/tasks/prepare-lead-gen-packet.md","Prepare Lead Gen Packet")</f>
        <v/>
      </c>
      <c r="D128" s="16">
        <f>HYPERLINK('Link Config'!$B$2&amp;"plugins/vc/skills/company-research-and-enrichment/SKILL.md","Company Research &amp; Enrichment")</f>
        <v/>
      </c>
    </row>
    <row r="129" ht="18" customHeight="1" s="12">
      <c r="A129" s="15" t="inlineStr">
        <is>
          <t>Origination Pipeline</t>
        </is>
      </c>
      <c r="B129" s="15" t="inlineStr">
        <is>
          <t>Pipeline Management</t>
        </is>
      </c>
      <c r="C129" s="16">
        <f>HYPERLINK('Link Config'!$B$2&amp;"plugins/vc/tasks/prepare-lead-gen-packet.md","Prepare Lead Gen Packet")</f>
        <v/>
      </c>
      <c r="D129" s="16">
        <f>HYPERLINK('Link Config'!$B$2&amp;"plugins/vc/skills/citation-enforcement/SKILL.md","Citation Enforcement")</f>
        <v/>
      </c>
    </row>
    <row r="130" ht="18" customHeight="1" s="12">
      <c r="A130" s="15" t="inlineStr">
        <is>
          <t>Origination Pipeline</t>
        </is>
      </c>
      <c r="B130" s="15" t="inlineStr">
        <is>
          <t>Integration Support</t>
        </is>
      </c>
      <c r="C130" s="16">
        <f>HYPERLINK('Link Config'!$B$2&amp;"plugins/vc/tasks/apify-sync-read.md","Preview Apify Origination Results")</f>
        <v/>
      </c>
      <c r="D130" s="16">
        <f>HYPERLINK('Link Config'!$B$2&amp;"plugins/vc/skills/vc-apify-sync-read/SKILL.md","VC Apify Sync Read")</f>
        <v/>
      </c>
    </row>
    <row r="131" ht="18" customHeight="1" s="12">
      <c r="A131" s="15" t="inlineStr">
        <is>
          <t>Origination Pipeline</t>
        </is>
      </c>
      <c r="B131" s="15" t="inlineStr">
        <is>
          <t>Integration Support</t>
        </is>
      </c>
      <c r="C131" s="16">
        <f>HYPERLINK('Link Config'!$B$2&amp;"plugins/vc/tasks/apify-sync-read.md","Preview Apify Origination Results")</f>
        <v/>
      </c>
      <c r="D131" s="16">
        <f>HYPERLINK('Link Config'!$B$2&amp;"plugins/vc/skills/citation-enforcement/SKILL.md","Citation Enforcement")</f>
        <v/>
      </c>
    </row>
    <row r="132" ht="18" customHeight="1" s="12">
      <c r="A132" s="15" t="inlineStr">
        <is>
          <t>Origination Pipeline</t>
        </is>
      </c>
      <c r="B132" s="15" t="inlineStr">
        <is>
          <t>Integration Support</t>
        </is>
      </c>
      <c r="C132" s="16">
        <f>HYPERLINK('Link Config'!$B$2&amp;"plugins/vc/tasks/companies-house-sync-read.md","Preview Companies House Public Register Results")</f>
        <v/>
      </c>
      <c r="D132" s="16">
        <f>HYPERLINK('Link Config'!$B$2&amp;"plugins/vc/skills/vc-companies-house-sync-read/SKILL.md","VC Companies House Sync Read")</f>
        <v/>
      </c>
    </row>
    <row r="133" ht="18" customHeight="1" s="12">
      <c r="A133" s="15" t="inlineStr">
        <is>
          <t>Origination Pipeline</t>
        </is>
      </c>
      <c r="B133" s="15" t="inlineStr">
        <is>
          <t>Integration Support</t>
        </is>
      </c>
      <c r="C133" s="16">
        <f>HYPERLINK('Link Config'!$B$2&amp;"plugins/vc/tasks/companies-house-sync-read.md","Preview Companies House Public Register Results")</f>
        <v/>
      </c>
      <c r="D133" s="16">
        <f>HYPERLINK('Link Config'!$B$2&amp;"plugins/vc/skills/citation-enforcement/SKILL.md","Citation Enforcement")</f>
        <v/>
      </c>
    </row>
    <row r="134" ht="18" customHeight="1" s="12">
      <c r="A134" s="15" t="inlineStr">
        <is>
          <t>Origination Pipeline</t>
        </is>
      </c>
      <c r="B134" s="15" t="inlineStr">
        <is>
          <t>Source</t>
        </is>
      </c>
      <c r="C134" s="16">
        <f>HYPERLINK('Link Config'!$B$2&amp;"plugins/vc/tasks/run-sourcing-pipeline.md","Run VC Sourcing Pipeline")</f>
        <v/>
      </c>
      <c r="D134" s="16">
        <f>HYPERLINK('Link Config'!$B$2&amp;"plugins/vc/skills/vc-origination-pipeline-orchestration/SKILL.md","Origination Pipeline Orchestration")</f>
        <v/>
      </c>
    </row>
    <row r="135" ht="18" customHeight="1" s="12">
      <c r="A135" s="15" t="inlineStr">
        <is>
          <t>Origination Pipeline</t>
        </is>
      </c>
      <c r="B135" s="15" t="inlineStr">
        <is>
          <t>Source</t>
        </is>
      </c>
      <c r="C135" s="16">
        <f>HYPERLINK('Link Config'!$B$2&amp;"plugins/vc/tasks/run-sourcing-pipeline.md","Run VC Sourcing Pipeline")</f>
        <v/>
      </c>
      <c r="D135" s="16">
        <f>HYPERLINK('Link Config'!$B$2&amp;"plugins/vc/skills/vc-source-registry-and-state-management/SKILL.md","VC Source Registry &amp; State Management")</f>
        <v/>
      </c>
    </row>
    <row r="136" ht="18" customHeight="1" s="12">
      <c r="A136" s="15" t="inlineStr">
        <is>
          <t>Origination Pipeline</t>
        </is>
      </c>
      <c r="B136" s="15" t="inlineStr">
        <is>
          <t>Source</t>
        </is>
      </c>
      <c r="C136" s="16">
        <f>HYPERLINK('Link Config'!$B$2&amp;"plugins/vc/tasks/run-sourcing-pipeline.md","Run VC Sourcing Pipeline")</f>
        <v/>
      </c>
      <c r="D136" s="16">
        <f>HYPERLINK('Link Config'!$B$2&amp;"plugins/vc/skills/citation-enforcement/SKILL.md","Citation Enforcement")</f>
        <v/>
      </c>
    </row>
    <row r="137" ht="18" customHeight="1" s="12">
      <c r="A137" s="15" t="inlineStr">
        <is>
          <t>Origination Pipeline</t>
        </is>
      </c>
      <c r="B137" s="15" t="inlineStr">
        <is>
          <t>Source</t>
        </is>
      </c>
      <c r="C137" s="16">
        <f>HYPERLINK('Link Config'!$B$2&amp;"plugins/vc/tasks/discover-companies-house-candidates.md","Discover Companies House Candidates")</f>
        <v/>
      </c>
      <c r="D137" s="16">
        <f>HYPERLINK('Link Config'!$B$2&amp;"plugins/vc/skills/vc-companies-house-sourcing/SKILL.md","VC Companies House Sourcing")</f>
        <v/>
      </c>
    </row>
    <row r="138" ht="18" customHeight="1" s="12">
      <c r="A138" s="15" t="inlineStr">
        <is>
          <t>Origination Pipeline</t>
        </is>
      </c>
      <c r="B138" s="15" t="inlineStr">
        <is>
          <t>Source</t>
        </is>
      </c>
      <c r="C138" s="16">
        <f>HYPERLINK('Link Config'!$B$2&amp;"plugins/vc/tasks/discover-companies-house-candidates.md","Discover Companies House Candidates")</f>
        <v/>
      </c>
      <c r="D138" s="16">
        <f>HYPERLINK('Link Config'!$B$2&amp;"plugins/vc/skills/vc-source-registry-and-state-management/SKILL.md","VC Source Registry &amp; State Management")</f>
        <v/>
      </c>
    </row>
    <row r="139" ht="18" customHeight="1" s="12">
      <c r="A139" s="15" t="inlineStr">
        <is>
          <t>Origination Pipeline</t>
        </is>
      </c>
      <c r="B139" s="15" t="inlineStr">
        <is>
          <t>Source</t>
        </is>
      </c>
      <c r="C139" s="16">
        <f>HYPERLINK('Link Config'!$B$2&amp;"plugins/vc/tasks/discover-companies-house-candidates.md","Discover Companies House Candidates")</f>
        <v/>
      </c>
      <c r="D139" s="16">
        <f>HYPERLINK('Link Config'!$B$2&amp;"plugins/vc/skills/citation-enforcement/SKILL.md","Citation Enforcement")</f>
        <v/>
      </c>
    </row>
    <row r="140" ht="18" customHeight="1" s="12">
      <c r="A140" s="15" t="inlineStr">
        <is>
          <t>Origination Pipeline</t>
        </is>
      </c>
      <c r="B140" s="15" t="inlineStr">
        <is>
          <t>Source</t>
        </is>
      </c>
      <c r="C140" s="16">
        <f>HYPERLINK('Link Config'!$B$2&amp;"plugins/vc/tasks/discover-linkedin-founders.md","Discover LinkedIn Founder Candidates")</f>
        <v/>
      </c>
      <c r="D140" s="16">
        <f>HYPERLINK('Link Config'!$B$2&amp;"plugins/vc/skills/vc-apify-linkedin-founder-discovery/SKILL.md","VC Apify LinkedIn Founder Discovery")</f>
        <v/>
      </c>
    </row>
    <row r="141" ht="18" customHeight="1" s="12">
      <c r="A141" s="15" t="inlineStr">
        <is>
          <t>Origination Pipeline</t>
        </is>
      </c>
      <c r="B141" s="15" t="inlineStr">
        <is>
          <t>Source</t>
        </is>
      </c>
      <c r="C141" s="16">
        <f>HYPERLINK('Link Config'!$B$2&amp;"plugins/vc/tasks/discover-linkedin-founders.md","Discover LinkedIn Founder Candidates")</f>
        <v/>
      </c>
      <c r="D141" s="16">
        <f>HYPERLINK('Link Config'!$B$2&amp;"plugins/vc/skills/vc-source-registry-and-state-management/SKILL.md","VC Source Registry &amp; State Management")</f>
        <v/>
      </c>
    </row>
    <row r="142" ht="18" customHeight="1" s="12">
      <c r="A142" s="15" t="inlineStr">
        <is>
          <t>Origination Pipeline</t>
        </is>
      </c>
      <c r="B142" s="15" t="inlineStr">
        <is>
          <t>Source</t>
        </is>
      </c>
      <c r="C142" s="16">
        <f>HYPERLINK('Link Config'!$B$2&amp;"plugins/vc/tasks/discover-linkedin-founders.md","Discover LinkedIn Founder Candidates")</f>
        <v/>
      </c>
      <c r="D142" s="16">
        <f>HYPERLINK('Link Config'!$B$2&amp;"plugins/vc/skills/citation-enforcement/SKILL.md","Citation Enforcement")</f>
        <v/>
      </c>
    </row>
    <row r="143" ht="18" customHeight="1" s="12">
      <c r="A143" s="15" t="inlineStr">
        <is>
          <t>Origination Pipeline</t>
        </is>
      </c>
      <c r="B143" s="15" t="inlineStr">
        <is>
          <t>Source</t>
        </is>
      </c>
      <c r="C143" s="16">
        <f>HYPERLINK('Link Config'!$B$2&amp;"plugins/vc/tasks/discover-x-founder-signals.md","Discover X Founder Signals")</f>
        <v/>
      </c>
      <c r="D143" s="16">
        <f>HYPERLINK('Link Config'!$B$2&amp;"plugins/vc/skills/vc-apify-x-founder-discovery/SKILL.md","VC Apify X Founder Discovery")</f>
        <v/>
      </c>
    </row>
    <row r="144" ht="18" customHeight="1" s="12">
      <c r="A144" s="15" t="inlineStr">
        <is>
          <t>Origination Pipeline</t>
        </is>
      </c>
      <c r="B144" s="15" t="inlineStr">
        <is>
          <t>Source</t>
        </is>
      </c>
      <c r="C144" s="16">
        <f>HYPERLINK('Link Config'!$B$2&amp;"plugins/vc/tasks/discover-x-founder-signals.md","Discover X Founder Signals")</f>
        <v/>
      </c>
      <c r="D144" s="16">
        <f>HYPERLINK('Link Config'!$B$2&amp;"plugins/vc/skills/vc-source-registry-and-state-management/SKILL.md","VC Source Registry &amp; State Management")</f>
        <v/>
      </c>
    </row>
    <row r="145" ht="18" customHeight="1" s="12">
      <c r="A145" s="15" t="inlineStr">
        <is>
          <t>Origination Pipeline</t>
        </is>
      </c>
      <c r="B145" s="15" t="inlineStr">
        <is>
          <t>Source</t>
        </is>
      </c>
      <c r="C145" s="16">
        <f>HYPERLINK('Link Config'!$B$2&amp;"plugins/vc/tasks/discover-x-founder-signals.md","Discover X Founder Signals")</f>
        <v/>
      </c>
      <c r="D145" s="16">
        <f>HYPERLINK('Link Config'!$B$2&amp;"plugins/vc/skills/citation-enforcement/SKILL.md","Citation Enforcement")</f>
        <v/>
      </c>
    </row>
    <row r="146" ht="18" customHeight="1" s="12">
      <c r="A146" s="15" t="inlineStr">
        <is>
          <t>Origination Pipeline</t>
        </is>
      </c>
      <c r="B146" s="15" t="inlineStr">
        <is>
          <t>Source</t>
        </is>
      </c>
      <c r="C146" s="16">
        <f>HYPERLINK('Link Config'!$B$2&amp;"plugins/vc/tasks/discover-github-builder-signals.md","Discover GitHub Builder Signals")</f>
        <v/>
      </c>
      <c r="D146" s="16">
        <f>HYPERLINK('Link Config'!$B$2&amp;"plugins/vc/skills/vc-github-builder-signal-discovery/SKILL.md","VC GitHub Builder Signal Discovery")</f>
        <v/>
      </c>
    </row>
    <row r="147" ht="18" customHeight="1" s="12">
      <c r="A147" s="15" t="inlineStr">
        <is>
          <t>Origination Pipeline</t>
        </is>
      </c>
      <c r="B147" s="15" t="inlineStr">
        <is>
          <t>Source</t>
        </is>
      </c>
      <c r="C147" s="16">
        <f>HYPERLINK('Link Config'!$B$2&amp;"plugins/vc/tasks/discover-github-builder-signals.md","Discover GitHub Builder Signals")</f>
        <v/>
      </c>
      <c r="D147" s="16">
        <f>HYPERLINK('Link Config'!$B$2&amp;"plugins/vc/skills/vc-source-registry-and-state-management/SKILL.md","VC Source Registry &amp; State Management")</f>
        <v/>
      </c>
    </row>
    <row r="148" ht="18" customHeight="1" s="12">
      <c r="A148" s="15" t="inlineStr">
        <is>
          <t>Origination Pipeline</t>
        </is>
      </c>
      <c r="B148" s="15" t="inlineStr">
        <is>
          <t>Source</t>
        </is>
      </c>
      <c r="C148" s="16">
        <f>HYPERLINK('Link Config'!$B$2&amp;"plugins/vc/tasks/discover-github-builder-signals.md","Discover GitHub Builder Signals")</f>
        <v/>
      </c>
      <c r="D148" s="16">
        <f>HYPERLINK('Link Config'!$B$2&amp;"plugins/vc/skills/citation-enforcement/SKILL.md","Citation Enforcement")</f>
        <v/>
      </c>
    </row>
    <row r="149" ht="18" customHeight="1" s="12">
      <c r="A149" s="15" t="inlineStr">
        <is>
          <t>Origination Pipeline</t>
        </is>
      </c>
      <c r="B149" s="15" t="inlineStr">
        <is>
          <t>Source</t>
        </is>
      </c>
      <c r="C149" s="16">
        <f>HYPERLINK('Link Config'!$B$2&amp;"plugins/vc/tasks/discover-reddit-builder-signals.md","Discover Reddit Builder Signals")</f>
        <v/>
      </c>
      <c r="D149" s="16">
        <f>HYPERLINK('Link Config'!$B$2&amp;"plugins/vc/skills/vc-reddit-builder-signal-discovery/SKILL.md","VC Reddit Builder Signal Discovery")</f>
        <v/>
      </c>
    </row>
    <row r="150" ht="18" customHeight="1" s="12">
      <c r="A150" s="15" t="inlineStr">
        <is>
          <t>Origination Pipeline</t>
        </is>
      </c>
      <c r="B150" s="15" t="inlineStr">
        <is>
          <t>Source</t>
        </is>
      </c>
      <c r="C150" s="16">
        <f>HYPERLINK('Link Config'!$B$2&amp;"plugins/vc/tasks/discover-reddit-builder-signals.md","Discover Reddit Builder Signals")</f>
        <v/>
      </c>
      <c r="D150" s="16">
        <f>HYPERLINK('Link Config'!$B$2&amp;"plugins/vc/skills/vc-source-registry-and-state-management/SKILL.md","VC Source Registry &amp; State Management")</f>
        <v/>
      </c>
    </row>
    <row r="151" ht="18" customHeight="1" s="12">
      <c r="A151" s="15" t="inlineStr">
        <is>
          <t>Origination Pipeline</t>
        </is>
      </c>
      <c r="B151" s="15" t="inlineStr">
        <is>
          <t>Source</t>
        </is>
      </c>
      <c r="C151" s="16">
        <f>HYPERLINK('Link Config'!$B$2&amp;"plugins/vc/tasks/discover-reddit-builder-signals.md","Discover Reddit Builder Signals")</f>
        <v/>
      </c>
      <c r="D151" s="16">
        <f>HYPERLINK('Link Config'!$B$2&amp;"plugins/vc/skills/citation-enforcement/SKILL.md","Citation Enforcement")</f>
        <v/>
      </c>
    </row>
    <row r="152" ht="18" customHeight="1" s="12">
      <c r="A152" s="15" t="inlineStr">
        <is>
          <t>Origination Pipeline</t>
        </is>
      </c>
      <c r="B152" s="15" t="inlineStr">
        <is>
          <t>Source</t>
        </is>
      </c>
      <c r="C152" s="16">
        <f>HYPERLINK('Link Config'!$B$2&amp;"plugins/vc/tasks/generate-sourcing-digest.md","Generate Sourcing Digest")</f>
        <v/>
      </c>
      <c r="D152" s="16">
        <f>HYPERLINK('Link Config'!$B$2&amp;"plugins/vc/skills/vc-sourcing-digest-generation/SKILL.md","VC Sourcing Digest Generation")</f>
        <v/>
      </c>
    </row>
    <row r="153" ht="18" customHeight="1" s="12">
      <c r="A153" s="15" t="inlineStr">
        <is>
          <t>Origination Pipeline</t>
        </is>
      </c>
      <c r="B153" s="15" t="inlineStr">
        <is>
          <t>Source</t>
        </is>
      </c>
      <c r="C153" s="16">
        <f>HYPERLINK('Link Config'!$B$2&amp;"plugins/vc/tasks/generate-sourcing-digest.md","Generate Sourcing Digest")</f>
        <v/>
      </c>
      <c r="D153" s="16">
        <f>HYPERLINK('Link Config'!$B$2&amp;"plugins/vc/skills/citation-enforcement/SKILL.md","Citation Enforcement")</f>
        <v/>
      </c>
    </row>
    <row r="154" ht="18" customHeight="1" s="12">
      <c r="A154" s="15" t="inlineStr">
        <is>
          <t>Origination Pipeline</t>
        </is>
      </c>
      <c r="B154" s="15" t="inlineStr">
        <is>
          <t>Source</t>
        </is>
      </c>
      <c r="C154" s="16">
        <f>HYPERLINK('Link Config'!$B$2&amp;"plugins/vc/tasks/audit-linkedin-query-spend.md","Audit LinkedIn Query Spend")</f>
        <v/>
      </c>
      <c r="D154" s="16">
        <f>HYPERLINK('Link Config'!$B$2&amp;"plugins/vc/skills/vc-linkedin-query-spend-audit/SKILL.md","VC LinkedIn Query Spend Audit")</f>
        <v/>
      </c>
    </row>
    <row r="155" ht="18" customHeight="1" s="12">
      <c r="A155" s="15" t="inlineStr">
        <is>
          <t>Origination Pipeline</t>
        </is>
      </c>
      <c r="B155" s="15" t="inlineStr">
        <is>
          <t>Source</t>
        </is>
      </c>
      <c r="C155" s="16">
        <f>HYPERLINK('Link Config'!$B$2&amp;"plugins/vc/tasks/audit-linkedin-query-spend.md","Audit LinkedIn Query Spend")</f>
        <v/>
      </c>
      <c r="D155" s="16">
        <f>HYPERLINK('Link Config'!$B$2&amp;"plugins/vc/skills/vc-source-registry-and-state-management/SKILL.md","VC Source Registry &amp; State Management")</f>
        <v/>
      </c>
    </row>
    <row r="156" ht="18" customHeight="1" s="12">
      <c r="A156" s="15" t="inlineStr">
        <is>
          <t>Origination Pipeline</t>
        </is>
      </c>
      <c r="B156" s="15" t="inlineStr">
        <is>
          <t>Source</t>
        </is>
      </c>
      <c r="C156" s="16">
        <f>HYPERLINK('Link Config'!$B$2&amp;"plugins/vc/tasks/audit-linkedin-query-spend.md","Audit LinkedIn Query Spend")</f>
        <v/>
      </c>
      <c r="D156" s="16">
        <f>HYPERLINK('Link Config'!$B$2&amp;"plugins/vc/skills/citation-enforcement/SKILL.md","Citation Enforcement")</f>
        <v/>
      </c>
    </row>
    <row r="157" ht="18" customHeight="1" s="12">
      <c r="A157" s="15" t="inlineStr">
        <is>
          <t>Origination Pipeline</t>
        </is>
      </c>
      <c r="B157" s="15" t="inlineStr">
        <is>
          <t>Source</t>
        </is>
      </c>
      <c r="C157" s="16">
        <f>HYPERLINK('Link Config'!$B$2&amp;"plugins/vc/tasks/source-thesis-targets.md","Source Thesis Targets")</f>
        <v/>
      </c>
      <c r="D157" s="16">
        <f>HYPERLINK('Link Config'!$B$2&amp;"plugins/vc/skills/company-research-and-enrichment/SKILL.md","Company Research &amp; Enrichment")</f>
        <v/>
      </c>
    </row>
    <row r="158" ht="18" customHeight="1" s="12">
      <c r="A158" s="15" t="inlineStr">
        <is>
          <t>Origination Pipeline</t>
        </is>
      </c>
      <c r="B158" s="15" t="inlineStr">
        <is>
          <t>Source</t>
        </is>
      </c>
      <c r="C158" s="16">
        <f>HYPERLINK('Link Config'!$B$2&amp;"plugins/vc/tasks/source-thesis-targets.md","Source Thesis Targets")</f>
        <v/>
      </c>
      <c r="D158" s="16">
        <f>HYPERLINK('Link Config'!$B$2&amp;"plugins/vc/skills/founder-outreach-and-intro-paths/SKILL.md","Founder Outreach &amp; Intro Paths")</f>
        <v/>
      </c>
    </row>
    <row r="159" ht="18" customHeight="1" s="12">
      <c r="A159" s="15" t="inlineStr">
        <is>
          <t>Origination Pipeline</t>
        </is>
      </c>
      <c r="B159" s="15" t="inlineStr">
        <is>
          <t>Source</t>
        </is>
      </c>
      <c r="C159" s="16">
        <f>HYPERLINK('Link Config'!$B$2&amp;"plugins/vc/tasks/source-thesis-targets.md","Source Thesis Targets")</f>
        <v/>
      </c>
      <c r="D159" s="16">
        <f>HYPERLINK('Link Config'!$B$2&amp;"plugins/vc/skills/citation-enforcement/SKILL.md","Citation Enforcement")</f>
        <v/>
      </c>
    </row>
    <row r="160" ht="18" customHeight="1" s="12">
      <c r="A160" s="15" t="inlineStr">
        <is>
          <t>Origination Pipeline</t>
        </is>
      </c>
      <c r="B160" s="15" t="inlineStr">
        <is>
          <t>Identify</t>
        </is>
      </c>
      <c r="C160" s="16">
        <f>HYPERLINK('Link Config'!$B$2&amp;"plugins/vc/tasks/review-reddit-candidate-inbox.md","Review Reddit Candidate Inbox")</f>
        <v/>
      </c>
      <c r="D160" s="16">
        <f>HYPERLINK('Link Config'!$B$2&amp;"plugins/vc/skills/vc-reddit-inbox-approval/SKILL.md","VC Reddit Inbox Approval")</f>
        <v/>
      </c>
    </row>
    <row r="161" ht="18" customHeight="1" s="12">
      <c r="A161" s="15" t="inlineStr">
        <is>
          <t>Origination Pipeline</t>
        </is>
      </c>
      <c r="B161" s="15" t="inlineStr">
        <is>
          <t>Identify</t>
        </is>
      </c>
      <c r="C161" s="16">
        <f>HYPERLINK('Link Config'!$B$2&amp;"plugins/vc/tasks/review-reddit-candidate-inbox.md","Review Reddit Candidate Inbox")</f>
        <v/>
      </c>
      <c r="D161" s="16">
        <f>HYPERLINK('Link Config'!$B$2&amp;"plugins/vc/skills/vc-sourcing-dedupe-and-novelty-check/SKILL.md","VC Sourcing Dedupe &amp; Novelty Check")</f>
        <v/>
      </c>
    </row>
    <row r="162" ht="18" customHeight="1" s="12">
      <c r="A162" s="15" t="inlineStr">
        <is>
          <t>Origination Pipeline</t>
        </is>
      </c>
      <c r="B162" s="15" t="inlineStr">
        <is>
          <t>Identify</t>
        </is>
      </c>
      <c r="C162" s="16">
        <f>HYPERLINK('Link Config'!$B$2&amp;"plugins/vc/tasks/review-reddit-candidate-inbox.md","Review Reddit Candidate Inbox")</f>
        <v/>
      </c>
      <c r="D162" s="16">
        <f>HYPERLINK('Link Config'!$B$2&amp;"plugins/vc/skills/citation-enforcement/SKILL.md","Citation Enforcement")</f>
        <v/>
      </c>
    </row>
    <row r="163" ht="18" customHeight="1" s="12">
      <c r="A163" s="15" t="inlineStr">
        <is>
          <t>Origination Pipeline</t>
        </is>
      </c>
      <c r="B163" s="15" t="inlineStr">
        <is>
          <t>Identify</t>
        </is>
      </c>
      <c r="C163" s="16">
        <f>HYPERLINK('Link Config'!$B$2&amp;"plugins/vc/tasks/ingest-manual-sourcing-tip.md","Ingest Manual Sourcing Tip")</f>
        <v/>
      </c>
      <c r="D163" s="16">
        <f>HYPERLINK('Link Config'!$B$2&amp;"plugins/vc/skills/vc-manual-tip-ingestion/SKILL.md","VC Manual Tip Ingestion")</f>
        <v/>
      </c>
    </row>
    <row r="164" ht="18" customHeight="1" s="12">
      <c r="A164" s="15" t="inlineStr">
        <is>
          <t>Origination Pipeline</t>
        </is>
      </c>
      <c r="B164" s="15" t="inlineStr">
        <is>
          <t>Identify</t>
        </is>
      </c>
      <c r="C164" s="16">
        <f>HYPERLINK('Link Config'!$B$2&amp;"plugins/vc/tasks/ingest-manual-sourcing-tip.md","Ingest Manual Sourcing Tip")</f>
        <v/>
      </c>
      <c r="D164" s="16">
        <f>HYPERLINK('Link Config'!$B$2&amp;"plugins/vc/skills/vc-sourcing-dedupe-and-novelty-check/SKILL.md","VC Sourcing Dedupe &amp; Novelty Check")</f>
        <v/>
      </c>
    </row>
    <row r="165" ht="18" customHeight="1" s="12">
      <c r="A165" s="15" t="inlineStr">
        <is>
          <t>Origination Pipeline</t>
        </is>
      </c>
      <c r="B165" s="15" t="inlineStr">
        <is>
          <t>Identify</t>
        </is>
      </c>
      <c r="C165" s="16">
        <f>HYPERLINK('Link Config'!$B$2&amp;"plugins/vc/tasks/ingest-manual-sourcing-tip.md","Ingest Manual Sourcing Tip")</f>
        <v/>
      </c>
      <c r="D165" s="16">
        <f>HYPERLINK('Link Config'!$B$2&amp;"plugins/vc/skills/citation-enforcement/SKILL.md","Citation Enforcement")</f>
        <v/>
      </c>
    </row>
    <row r="166" ht="18" customHeight="1" s="12">
      <c r="A166" s="15" t="inlineStr">
        <is>
          <t>Origination Pipeline</t>
        </is>
      </c>
      <c r="B166" s="15" t="inlineStr">
        <is>
          <t>Identify</t>
        </is>
      </c>
      <c r="C166" s="16">
        <f>HYPERLINK('Link Config'!$B$2&amp;"plugins/vc/tasks/sync-sourcing-candidates.md","Sync Sourcing Candidate")</f>
        <v/>
      </c>
      <c r="D166" s="16">
        <f>HYPERLINK('Link Config'!$B$2&amp;"plugins/vc/skills/vc-source-registry-and-state-management/SKILL.md","VC Source Registry &amp; State Management")</f>
        <v/>
      </c>
    </row>
    <row r="167" ht="18" customHeight="1" s="12">
      <c r="A167" s="15" t="inlineStr">
        <is>
          <t>Origination Pipeline</t>
        </is>
      </c>
      <c r="B167" s="15" t="inlineStr">
        <is>
          <t>Identify</t>
        </is>
      </c>
      <c r="C167" s="16">
        <f>HYPERLINK('Link Config'!$B$2&amp;"plugins/vc/tasks/sync-sourcing-candidates.md","Sync Sourcing Candidate")</f>
        <v/>
      </c>
      <c r="D167" s="16">
        <f>HYPERLINK('Link Config'!$B$2&amp;"plugins/vc/skills/vc-sourcing-dedupe-and-novelty-check/SKILL.md","VC Sourcing Dedupe &amp; Novelty Check")</f>
        <v/>
      </c>
    </row>
    <row r="168" ht="18" customHeight="1" s="12">
      <c r="A168" s="15" t="inlineStr">
        <is>
          <t>Origination Pipeline</t>
        </is>
      </c>
      <c r="B168" s="15" t="inlineStr">
        <is>
          <t>Identify</t>
        </is>
      </c>
      <c r="C168" s="16">
        <f>HYPERLINK('Link Config'!$B$2&amp;"plugins/vc/tasks/sync-sourcing-candidates.md","Sync Sourcing Candidate")</f>
        <v/>
      </c>
      <c r="D168" s="16">
        <f>HYPERLINK('Link Config'!$B$2&amp;"plugins/vc/skills/citation-enforcement/SKILL.md","Citation Enforcement")</f>
        <v/>
      </c>
    </row>
    <row r="169" ht="18" customHeight="1" s="12">
      <c r="A169" s="15" t="inlineStr">
        <is>
          <t>Origination Pipeline</t>
        </is>
      </c>
      <c r="B169" s="15" t="inlineStr">
        <is>
          <t>Identify</t>
        </is>
      </c>
      <c r="C169" s="16">
        <f>HYPERLINK('Link Config'!$B$2&amp;"plugins/vc/tasks/sync-sourcing-candidates.md","Sync Sourcing Candidate")</f>
        <v/>
      </c>
      <c r="D169" s="16">
        <f>HYPERLINK('Link Config'!$B$2&amp;"plugins/vc/skills/vc-notion-sync-write/SKILL.md","VC Notion Sync Write")</f>
        <v/>
      </c>
    </row>
    <row r="170" ht="18" customHeight="1" s="12">
      <c r="A170" s="15" t="inlineStr">
        <is>
          <t>Origination Pipeline</t>
        </is>
      </c>
      <c r="B170" s="15" t="inlineStr">
        <is>
          <t>Enrich</t>
        </is>
      </c>
      <c r="C170" s="16">
        <f>HYPERLINK('Link Config'!$B$2&amp;"plugins/vc/tasks/enrich-sourcing-candidates.md","Enrich Sourcing Candidate")</f>
        <v/>
      </c>
      <c r="D170" s="16">
        <f>HYPERLINK('Link Config'!$B$2&amp;"plugins/vc/skills/vc-sourcing-candidate-enrichment/SKILL.md","VC Sourcing Candidate Enrichment")</f>
        <v/>
      </c>
    </row>
    <row r="171" ht="18" customHeight="1" s="12">
      <c r="A171" s="15" t="inlineStr">
        <is>
          <t>Origination Pipeline</t>
        </is>
      </c>
      <c r="B171" s="15" t="inlineStr">
        <is>
          <t>Enrich</t>
        </is>
      </c>
      <c r="C171" s="16">
        <f>HYPERLINK('Link Config'!$B$2&amp;"plugins/vc/tasks/enrich-sourcing-candidates.md","Enrich Sourcing Candidate")</f>
        <v/>
      </c>
      <c r="D171" s="16">
        <f>HYPERLINK('Link Config'!$B$2&amp;"plugins/vc/skills/vc-sourcing-dedupe-and-novelty-check/SKILL.md","VC Sourcing Dedupe &amp; Novelty Check")</f>
        <v/>
      </c>
    </row>
    <row r="172" ht="18" customHeight="1" s="12">
      <c r="A172" s="15" t="inlineStr">
        <is>
          <t>Origination Pipeline</t>
        </is>
      </c>
      <c r="B172" s="15" t="inlineStr">
        <is>
          <t>Enrich</t>
        </is>
      </c>
      <c r="C172" s="16">
        <f>HYPERLINK('Link Config'!$B$2&amp;"plugins/vc/tasks/enrich-sourcing-candidates.md","Enrich Sourcing Candidate")</f>
        <v/>
      </c>
      <c r="D172" s="16">
        <f>HYPERLINK('Link Config'!$B$2&amp;"plugins/vc/skills/citation-enforcement/SKILL.md","Citation Enforcement")</f>
        <v/>
      </c>
    </row>
    <row r="173" ht="18" customHeight="1" s="12">
      <c r="A173" s="15" t="inlineStr">
        <is>
          <t>Origination Pipeline</t>
        </is>
      </c>
      <c r="B173" s="15" t="inlineStr">
        <is>
          <t>Enrich</t>
        </is>
      </c>
      <c r="C173" s="16">
        <f>HYPERLINK('Link Config'!$B$2&amp;"plugins/vc/tasks/check-affinity-relationships.md","Check Affinity Relationship Context")</f>
        <v/>
      </c>
      <c r="D173" s="16">
        <f>HYPERLINK('Link Config'!$B$2&amp;"plugins/vc/skills/vc-relationship-context-check/SKILL.md","VC Relationship Context Check")</f>
        <v/>
      </c>
    </row>
    <row r="174" ht="18" customHeight="1" s="12">
      <c r="A174" s="15" t="inlineStr">
        <is>
          <t>Origination Pipeline</t>
        </is>
      </c>
      <c r="B174" s="15" t="inlineStr">
        <is>
          <t>Enrich</t>
        </is>
      </c>
      <c r="C174" s="16">
        <f>HYPERLINK('Link Config'!$B$2&amp;"plugins/vc/tasks/check-affinity-relationships.md","Check Affinity Relationship Context")</f>
        <v/>
      </c>
      <c r="D174" s="16">
        <f>HYPERLINK('Link Config'!$B$2&amp;"plugins/vc/skills/citation-enforcement/SKILL.md","Citation Enforcement")</f>
        <v/>
      </c>
    </row>
    <row r="175" ht="18" customHeight="1" s="12">
      <c r="A175" s="15" t="inlineStr">
        <is>
          <t>Origination Pipeline</t>
        </is>
      </c>
      <c r="B175" s="15" t="inlineStr">
        <is>
          <t>Initial Screen</t>
        </is>
      </c>
      <c r="C175" s="16">
        <f>HYPERLINK('Link Config'!$B$2&amp;"plugins/vc/tasks/score-sourcing-candidates.md","Score Sourcing Candidate")</f>
        <v/>
      </c>
      <c r="D175" s="16">
        <f>HYPERLINK('Link Config'!$B$2&amp;"plugins/vc/skills/vc-sourcing-verdict-and-screening/SKILL.md","VC Sourcing Verdict &amp; Screening")</f>
        <v/>
      </c>
    </row>
    <row r="176" ht="18" customHeight="1" s="12">
      <c r="A176" s="15" t="inlineStr">
        <is>
          <t>Origination Pipeline</t>
        </is>
      </c>
      <c r="B176" s="15" t="inlineStr">
        <is>
          <t>Initial Screen</t>
        </is>
      </c>
      <c r="C176" s="16">
        <f>HYPERLINK('Link Config'!$B$2&amp;"plugins/vc/tasks/score-sourcing-candidates.md","Score Sourcing Candidate")</f>
        <v/>
      </c>
      <c r="D176" s="16">
        <f>HYPERLINK('Link Config'!$B$2&amp;"plugins/vc/skills/vc-sourcing-dedupe-and-novelty-check/SKILL.md","VC Sourcing Dedupe &amp; Novelty Check")</f>
        <v/>
      </c>
    </row>
    <row r="177" ht="18" customHeight="1" s="12">
      <c r="A177" s="15" t="inlineStr">
        <is>
          <t>Origination Pipeline</t>
        </is>
      </c>
      <c r="B177" s="15" t="inlineStr">
        <is>
          <t>Initial Screen</t>
        </is>
      </c>
      <c r="C177" s="16">
        <f>HYPERLINK('Link Config'!$B$2&amp;"plugins/vc/tasks/score-sourcing-candidates.md","Score Sourcing Candidate")</f>
        <v/>
      </c>
      <c r="D177" s="16">
        <f>HYPERLINK('Link Config'!$B$2&amp;"plugins/vc/skills/citation-enforcement/SKILL.md","Citation Enforcement")</f>
        <v/>
      </c>
    </row>
    <row r="178" ht="18" customHeight="1" s="12">
      <c r="A178" s="15" t="inlineStr">
        <is>
          <t>Origination Pipeline</t>
        </is>
      </c>
      <c r="B178" s="15" t="inlineStr">
        <is>
          <t>Initial Screen</t>
        </is>
      </c>
      <c r="C178" s="16">
        <f>HYPERLINK('Link Config'!$B$2&amp;"plugins/vc/tasks/screen-identified-candidates.md","Screen Identified Candidate")</f>
        <v/>
      </c>
      <c r="D178" s="16">
        <f>HYPERLINK('Link Config'!$B$2&amp;"plugins/vc/skills/vc-sourcing-verdict-and-screening/SKILL.md","VC Sourcing Verdict &amp; Screening")</f>
        <v/>
      </c>
    </row>
    <row r="179" ht="18" customHeight="1" s="12">
      <c r="A179" s="15" t="inlineStr">
        <is>
          <t>Origination Pipeline</t>
        </is>
      </c>
      <c r="B179" s="15" t="inlineStr">
        <is>
          <t>Initial Screen</t>
        </is>
      </c>
      <c r="C179" s="16">
        <f>HYPERLINK('Link Config'!$B$2&amp;"plugins/vc/tasks/screen-identified-candidates.md","Screen Identified Candidate")</f>
        <v/>
      </c>
      <c r="D179" s="16">
        <f>HYPERLINK('Link Config'!$B$2&amp;"plugins/vc/skills/vc-sourcing-dedupe-and-novelty-check/SKILL.md","VC Sourcing Dedupe &amp; Novelty Check")</f>
        <v/>
      </c>
    </row>
    <row r="180" ht="18" customHeight="1" s="12">
      <c r="A180" s="15" t="inlineStr">
        <is>
          <t>Origination Pipeline</t>
        </is>
      </c>
      <c r="B180" s="15" t="inlineStr">
        <is>
          <t>Initial Screen</t>
        </is>
      </c>
      <c r="C180" s="16">
        <f>HYPERLINK('Link Config'!$B$2&amp;"plugins/vc/tasks/screen-identified-candidates.md","Screen Identified Candidate")</f>
        <v/>
      </c>
      <c r="D180" s="16">
        <f>HYPERLINK('Link Config'!$B$2&amp;"plugins/vc/skills/citation-enforcement/SKILL.md","Citation Enforcement")</f>
        <v/>
      </c>
    </row>
    <row r="181" ht="18" customHeight="1" s="12">
      <c r="A181" s="15" t="inlineStr">
        <is>
          <t>Origination Pipeline</t>
        </is>
      </c>
      <c r="B181" s="15" t="inlineStr">
        <is>
          <t>Prioritize</t>
        </is>
      </c>
      <c r="C181" s="16">
        <f>HYPERLINK('Link Config'!$B$2&amp;"plugins/vc/tasks/review-portfolio-overlap.md","Review Portfolio Overlap")</f>
        <v/>
      </c>
      <c r="D181" s="16">
        <f>HYPERLINK('Link Config'!$B$2&amp;"plugins/vc/skills/vc-portfolio-overlap-review/SKILL.md","VC Portfolio Overlap Review")</f>
        <v/>
      </c>
    </row>
    <row r="182" ht="18" customHeight="1" s="12">
      <c r="A182" s="15" t="inlineStr">
        <is>
          <t>Origination Pipeline</t>
        </is>
      </c>
      <c r="B182" s="15" t="inlineStr">
        <is>
          <t>Prioritize</t>
        </is>
      </c>
      <c r="C182" s="16">
        <f>HYPERLINK('Link Config'!$B$2&amp;"plugins/vc/tasks/review-portfolio-overlap.md","Review Portfolio Overlap")</f>
        <v/>
      </c>
      <c r="D182" s="16">
        <f>HYPERLINK('Link Config'!$B$2&amp;"plugins/vc/skills/citation-enforcement/SKILL.md","Citation Enforcement")</f>
        <v/>
      </c>
    </row>
    <row r="183" ht="18" customHeight="1" s="12">
      <c r="A183" s="15" t="inlineStr">
        <is>
          <t>Origination Pipeline</t>
        </is>
      </c>
      <c r="B183" s="15" t="inlineStr">
        <is>
          <t>Prioritize</t>
        </is>
      </c>
      <c r="C183" s="16">
        <f>HYPERLINK('Link Config'!$B$2&amp;"plugins/vc/tasks/review-portfolio-overlap.md","Review Portfolio Overlap")</f>
        <v/>
      </c>
      <c r="D183" s="16">
        <f>HYPERLINK('Link Config'!$B$2&amp;"plugins/vc/skills/vc-relationship-context-check/SKILL.md","VC Relationship Context Check")</f>
        <v/>
      </c>
    </row>
    <row r="184" ht="18" customHeight="1" s="12">
      <c r="A184" s="15" t="inlineStr">
        <is>
          <t>Origination Pipeline</t>
        </is>
      </c>
      <c r="B184" s="15" t="inlineStr">
        <is>
          <t>Prioritize</t>
        </is>
      </c>
      <c r="C184" s="16">
        <f>HYPERLINK('Link Config'!$B$2&amp;"plugins/vc/tasks/run-deal-fit-analysis.md","Run Deal Fit Analysis")</f>
        <v/>
      </c>
      <c r="D184" s="16">
        <f>HYPERLINK('Link Config'!$B$2&amp;"plugins/vc/skills/vc-sourcing-verdict-and-screening/SKILL.md","VC Sourcing Verdict &amp; Screening")</f>
        <v/>
      </c>
    </row>
    <row r="185" ht="18" customHeight="1" s="12">
      <c r="A185" s="15" t="inlineStr">
        <is>
          <t>Origination Pipeline</t>
        </is>
      </c>
      <c r="B185" s="15" t="inlineStr">
        <is>
          <t>Prioritize</t>
        </is>
      </c>
      <c r="C185" s="16">
        <f>HYPERLINK('Link Config'!$B$2&amp;"plugins/vc/tasks/run-deal-fit-analysis.md","Run Deal Fit Analysis")</f>
        <v/>
      </c>
      <c r="D185" s="16">
        <f>HYPERLINK('Link Config'!$B$2&amp;"plugins/vc/skills/investment-screening-framework/SKILL.md","Investment Screening Framework")</f>
        <v/>
      </c>
    </row>
    <row r="186" ht="18" customHeight="1" s="12">
      <c r="A186" s="15" t="inlineStr">
        <is>
          <t>Origination Pipeline</t>
        </is>
      </c>
      <c r="B186" s="15" t="inlineStr">
        <is>
          <t>Prioritize</t>
        </is>
      </c>
      <c r="C186" s="16">
        <f>HYPERLINK('Link Config'!$B$2&amp;"plugins/vc/tasks/run-deal-fit-analysis.md","Run Deal Fit Analysis")</f>
        <v/>
      </c>
      <c r="D186" s="16">
        <f>HYPERLINK('Link Config'!$B$2&amp;"plugins/vc/skills/citation-enforcement/SKILL.md","Citation Enforcement")</f>
        <v/>
      </c>
    </row>
    <row r="187" ht="18" customHeight="1" s="12">
      <c r="A187" s="15" t="inlineStr">
        <is>
          <t>Origination Pipeline</t>
        </is>
      </c>
      <c r="B187" s="15" t="inlineStr">
        <is>
          <t>Prioritize</t>
        </is>
      </c>
      <c r="C187" s="16">
        <f>HYPERLINK('Link Config'!$B$2&amp;"plugins/vc/tasks/screen-active-sourcing-candidates.md","Screen Active Sourcing Candidate")</f>
        <v/>
      </c>
      <c r="D187" s="16">
        <f>HYPERLINK('Link Config'!$B$2&amp;"plugins/vc/skills/vc-sourcing-verdict-and-screening/SKILL.md","VC Sourcing Verdict &amp; Screening")</f>
        <v/>
      </c>
    </row>
    <row r="188" ht="18" customHeight="1" s="12">
      <c r="A188" s="15" t="inlineStr">
        <is>
          <t>Origination Pipeline</t>
        </is>
      </c>
      <c r="B188" s="15" t="inlineStr">
        <is>
          <t>Prioritize</t>
        </is>
      </c>
      <c r="C188" s="16">
        <f>HYPERLINK('Link Config'!$B$2&amp;"plugins/vc/tasks/screen-active-sourcing-candidates.md","Screen Active Sourcing Candidate")</f>
        <v/>
      </c>
      <c r="D188" s="16">
        <f>HYPERLINK('Link Config'!$B$2&amp;"plugins/vc/skills/citation-enforcement/SKILL.md","Citation Enforcement")</f>
        <v/>
      </c>
    </row>
    <row r="189" ht="18" customHeight="1" s="12">
      <c r="A189" s="15" t="inlineStr">
        <is>
          <t>Origination Pipeline</t>
        </is>
      </c>
      <c r="B189" s="15" t="inlineStr">
        <is>
          <t>Prioritize</t>
        </is>
      </c>
      <c r="C189" s="16">
        <f>HYPERLINK('Link Config'!$B$2&amp;"plugins/vc/tasks/screen-active-sourcing-candidates.md","Screen Active Sourcing Candidate")</f>
        <v/>
      </c>
      <c r="D189" s="16">
        <f>HYPERLINK('Link Config'!$B$2&amp;"plugins/vc/skills/investment-screening-framework/SKILL.md","Investment Screening Framework")</f>
        <v/>
      </c>
    </row>
    <row r="190" ht="18" customHeight="1" s="12">
      <c r="A190" s="15" t="inlineStr">
        <is>
          <t>Origination Pipeline</t>
        </is>
      </c>
      <c r="B190" s="15" t="inlineStr">
        <is>
          <t>Prioritize</t>
        </is>
      </c>
      <c r="C190" s="16">
        <f>HYPERLINK('Link Config'!$B$2&amp;"plugins/vc/tasks/review-unicorn-signature.md","Review Unicorn Signature")</f>
        <v/>
      </c>
      <c r="D190" s="16">
        <f>HYPERLINK('Link Config'!$B$2&amp;"plugins/vc/skills/vc-sourcing-verdict-and-screening/SKILL.md","VC Sourcing Verdict &amp; Screening")</f>
        <v/>
      </c>
    </row>
    <row r="191" ht="18" customHeight="1" s="12">
      <c r="A191" s="15" t="inlineStr">
        <is>
          <t>Origination Pipeline</t>
        </is>
      </c>
      <c r="B191" s="15" t="inlineStr">
        <is>
          <t>Prioritize</t>
        </is>
      </c>
      <c r="C191" s="16">
        <f>HYPERLINK('Link Config'!$B$2&amp;"plugins/vc/tasks/review-unicorn-signature.md","Review Unicorn Signature")</f>
        <v/>
      </c>
      <c r="D191" s="16">
        <f>HYPERLINK('Link Config'!$B$2&amp;"plugins/vc/skills/vc-origination-ic-summary-preparation/SKILL.md","Origination Prospect Summary Preparation")</f>
        <v/>
      </c>
    </row>
    <row r="192" ht="18" customHeight="1" s="12">
      <c r="A192" s="15" t="inlineStr">
        <is>
          <t>Origination Pipeline</t>
        </is>
      </c>
      <c r="B192" s="15" t="inlineStr">
        <is>
          <t>Prioritize</t>
        </is>
      </c>
      <c r="C192" s="16">
        <f>HYPERLINK('Link Config'!$B$2&amp;"plugins/vc/tasks/review-unicorn-signature.md","Review Unicorn Signature")</f>
        <v/>
      </c>
      <c r="D192" s="16">
        <f>HYPERLINK('Link Config'!$B$2&amp;"plugins/vc/skills/citation-enforcement/SKILL.md","Citation Enforcement")</f>
        <v/>
      </c>
    </row>
    <row r="193" ht="18" customHeight="1" s="12">
      <c r="A193" s="15" t="inlineStr">
        <is>
          <t>Origination Pipeline</t>
        </is>
      </c>
      <c r="B193" s="15" t="inlineStr">
        <is>
          <t>Outreach Prep</t>
        </is>
      </c>
      <c r="C193" s="16">
        <f>HYPERLINK('Link Config'!$B$2&amp;"plugins/vc/tasks/prepare-sourcing-ic-summary.md","Prepare Prospect Summary")</f>
        <v/>
      </c>
      <c r="D193" s="16">
        <f>HYPERLINK('Link Config'!$B$2&amp;"plugins/vc/skills/vc-origination-ic-summary-preparation/SKILL.md","Origination Prospect Summary Preparation")</f>
        <v/>
      </c>
    </row>
    <row r="194" ht="18" customHeight="1" s="12">
      <c r="A194" s="15" t="inlineStr">
        <is>
          <t>Origination Pipeline</t>
        </is>
      </c>
      <c r="B194" s="15" t="inlineStr">
        <is>
          <t>Outreach Prep</t>
        </is>
      </c>
      <c r="C194" s="16">
        <f>HYPERLINK('Link Config'!$B$2&amp;"plugins/vc/tasks/prepare-sourcing-ic-summary.md","Prepare Prospect Summary")</f>
        <v/>
      </c>
      <c r="D194" s="16">
        <f>HYPERLINK('Link Config'!$B$2&amp;"plugins/vc/skills/citation-enforcement/SKILL.md","Citation Enforcement")</f>
        <v/>
      </c>
    </row>
    <row r="195" ht="18" customHeight="1" s="12">
      <c r="A195" s="15" t="inlineStr">
        <is>
          <t>Origination Pipeline</t>
        </is>
      </c>
      <c r="B195" s="15" t="inlineStr">
        <is>
          <t>Outreach Prep</t>
        </is>
      </c>
      <c r="C195" s="16">
        <f>HYPERLINK('Link Config'!$B$2&amp;"plugins/vc/tasks/prepare-outreach-draft-queue.md","Prepare Outreach Draft Queue")</f>
        <v/>
      </c>
      <c r="D195" s="16">
        <f>HYPERLINK('Link Config'!$B$2&amp;"plugins/vc/skills/vc-outreach-draft-queue/SKILL.md","VC Outreach Draft Queue")</f>
        <v/>
      </c>
    </row>
    <row r="196" ht="18" customHeight="1" s="12">
      <c r="A196" s="15" t="inlineStr">
        <is>
          <t>Origination Pipeline</t>
        </is>
      </c>
      <c r="B196" s="15" t="inlineStr">
        <is>
          <t>Outreach Prep</t>
        </is>
      </c>
      <c r="C196" s="16">
        <f>HYPERLINK('Link Config'!$B$2&amp;"plugins/vc/tasks/prepare-outreach-draft-queue.md","Prepare Outreach Draft Queue")</f>
        <v/>
      </c>
      <c r="D196" s="16">
        <f>HYPERLINK('Link Config'!$B$2&amp;"plugins/vc/skills/citation-enforcement/SKILL.md","Citation Enforcement")</f>
        <v/>
      </c>
    </row>
    <row r="197" ht="18" customHeight="1" s="12">
      <c r="A197" s="15" t="inlineStr">
        <is>
          <t>Origination Pipeline</t>
        </is>
      </c>
      <c r="B197" s="15" t="inlineStr">
        <is>
          <t>Outreach Prep</t>
        </is>
      </c>
      <c r="C197" s="16">
        <f>HYPERLINK('Link Config'!$B$2&amp;"plugins/vc/tasks/prepare-outreach-draft-queue.md","Prepare Outreach Draft Queue")</f>
        <v/>
      </c>
      <c r="D197" s="16">
        <f>HYPERLINK('Link Config'!$B$2&amp;"plugins/vc/skills/founder-outreach-and-intro-paths/SKILL.md","Founder Outreach &amp; Intro Paths")</f>
        <v/>
      </c>
    </row>
    <row r="198" ht="18" customHeight="1" s="12">
      <c r="A198" s="15" t="inlineStr">
        <is>
          <t>Origination Pipeline</t>
        </is>
      </c>
      <c r="B198" s="15" t="inlineStr">
        <is>
          <t>Contact Attempts</t>
        </is>
      </c>
      <c r="C198" s="16">
        <f>HYPERLINK('Link Config'!$B$2&amp;"plugins/vc/tasks/record-linkedin-connection-attempt.md","Record LinkedIn Connection Attempt")</f>
        <v/>
      </c>
      <c r="D198" s="16">
        <f>HYPERLINK('Link Config'!$B$2&amp;"plugins/vc/skills/vc-outreach-draft-queue/SKILL.md","VC Outreach Draft Queue")</f>
        <v/>
      </c>
    </row>
    <row r="199" ht="18" customHeight="1" s="12">
      <c r="A199" s="15" t="inlineStr">
        <is>
          <t>Origination Pipeline</t>
        </is>
      </c>
      <c r="B199" s="15" t="inlineStr">
        <is>
          <t>Contact Attempts</t>
        </is>
      </c>
      <c r="C199" s="16">
        <f>HYPERLINK('Link Config'!$B$2&amp;"plugins/vc/tasks/record-linkedin-connection-attempt.md","Record LinkedIn Connection Attempt")</f>
        <v/>
      </c>
      <c r="D199" s="16">
        <f>HYPERLINK('Link Config'!$B$2&amp;"plugins/vc/skills/founder-outreach-and-intro-paths/SKILL.md","Founder Outreach &amp; Intro Paths")</f>
        <v/>
      </c>
    </row>
    <row r="200" ht="18" customHeight="1" s="12">
      <c r="A200" s="15" t="inlineStr">
        <is>
          <t>Origination Pipeline</t>
        </is>
      </c>
      <c r="B200" s="15" t="inlineStr">
        <is>
          <t>Contact Attempts</t>
        </is>
      </c>
      <c r="C200" s="16">
        <f>HYPERLINK('Link Config'!$B$2&amp;"plugins/vc/tasks/record-linkedin-connection-attempt.md","Record LinkedIn Connection Attempt")</f>
        <v/>
      </c>
      <c r="D200" s="16">
        <f>HYPERLINK('Link Config'!$B$2&amp;"plugins/vc/skills/citation-enforcement/SKILL.md","Citation Enforcement")</f>
        <v/>
      </c>
    </row>
    <row r="201" ht="18" customHeight="1" s="12">
      <c r="A201" s="15" t="inlineStr">
        <is>
          <t>Origination Pipeline</t>
        </is>
      </c>
      <c r="B201" s="15" t="inlineStr">
        <is>
          <t>Contact Attempts</t>
        </is>
      </c>
      <c r="C201" s="16">
        <f>HYPERLINK('Link Config'!$B$2&amp;"plugins/vc/tasks/prepare-initial-linkedin-reachout.md","Prepare Initial LinkedIn Reachout")</f>
        <v/>
      </c>
      <c r="D201" s="16">
        <f>HYPERLINK('Link Config'!$B$2&amp;"plugins/vc/skills/vc-outreach-draft-queue/SKILL.md","VC Outreach Draft Queue")</f>
        <v/>
      </c>
    </row>
    <row r="202" ht="18" customHeight="1" s="12">
      <c r="A202" s="15" t="inlineStr">
        <is>
          <t>Origination Pipeline</t>
        </is>
      </c>
      <c r="B202" s="15" t="inlineStr">
        <is>
          <t>Contact Attempts</t>
        </is>
      </c>
      <c r="C202" s="16">
        <f>HYPERLINK('Link Config'!$B$2&amp;"plugins/vc/tasks/prepare-initial-linkedin-reachout.md","Prepare Initial LinkedIn Reachout")</f>
        <v/>
      </c>
      <c r="D202" s="16">
        <f>HYPERLINK('Link Config'!$B$2&amp;"plugins/vc/skills/founder-outreach-and-intro-paths/SKILL.md","Founder Outreach &amp; Intro Paths")</f>
        <v/>
      </c>
    </row>
    <row r="203" ht="18" customHeight="1" s="12">
      <c r="A203" s="15" t="inlineStr">
        <is>
          <t>Origination Pipeline</t>
        </is>
      </c>
      <c r="B203" s="15" t="inlineStr">
        <is>
          <t>Contact Attempts</t>
        </is>
      </c>
      <c r="C203" s="16">
        <f>HYPERLINK('Link Config'!$B$2&amp;"plugins/vc/tasks/prepare-initial-linkedin-reachout.md","Prepare Initial LinkedIn Reachout")</f>
        <v/>
      </c>
      <c r="D203" s="16">
        <f>HYPERLINK('Link Config'!$B$2&amp;"plugins/vc/skills/citation-enforcement/SKILL.md","Citation Enforcement")</f>
        <v/>
      </c>
    </row>
    <row r="204" ht="18" customHeight="1" s="12">
      <c r="A204" s="15" t="inlineStr">
        <is>
          <t>Origination Pipeline</t>
        </is>
      </c>
      <c r="B204" s="15" t="inlineStr">
        <is>
          <t>Contact Attempts</t>
        </is>
      </c>
      <c r="C204" s="16">
        <f>HYPERLINK('Link Config'!$B$2&amp;"plugins/vc/tasks/prepare-second-reachout-email.md","Prepare Second Reachout Email")</f>
        <v/>
      </c>
      <c r="D204" s="16">
        <f>HYPERLINK('Link Config'!$B$2&amp;"plugins/vc/skills/vc-outreach-draft-queue/SKILL.md","VC Outreach Draft Queue")</f>
        <v/>
      </c>
    </row>
    <row r="205" ht="18" customHeight="1" s="12">
      <c r="A205" s="15" t="inlineStr">
        <is>
          <t>Origination Pipeline</t>
        </is>
      </c>
      <c r="B205" s="15" t="inlineStr">
        <is>
          <t>Contact Attempts</t>
        </is>
      </c>
      <c r="C205" s="16">
        <f>HYPERLINK('Link Config'!$B$2&amp;"plugins/vc/tasks/prepare-second-reachout-email.md","Prepare Second Reachout Email")</f>
        <v/>
      </c>
      <c r="D205" s="16">
        <f>HYPERLINK('Link Config'!$B$2&amp;"plugins/vc/skills/founder-outreach-and-intro-paths/SKILL.md","Founder Outreach &amp; Intro Paths")</f>
        <v/>
      </c>
    </row>
    <row r="206" ht="18" customHeight="1" s="12">
      <c r="A206" s="15" t="inlineStr">
        <is>
          <t>Origination Pipeline</t>
        </is>
      </c>
      <c r="B206" s="15" t="inlineStr">
        <is>
          <t>Contact Attempts</t>
        </is>
      </c>
      <c r="C206" s="16">
        <f>HYPERLINK('Link Config'!$B$2&amp;"plugins/vc/tasks/prepare-second-reachout-email.md","Prepare Second Reachout Email")</f>
        <v/>
      </c>
      <c r="D206" s="16">
        <f>HYPERLINK('Link Config'!$B$2&amp;"plugins/vc/skills/citation-enforcement/SKILL.md","Citation Enforcement")</f>
        <v/>
      </c>
    </row>
    <row r="207" ht="18" customHeight="1" s="12">
      <c r="A207" s="15" t="inlineStr">
        <is>
          <t>Origination Pipeline</t>
        </is>
      </c>
      <c r="B207" s="15" t="inlineStr">
        <is>
          <t>Founder Engagement Screen</t>
        </is>
      </c>
      <c r="C207" s="16">
        <f>HYPERLINK('Link Config'!$B$2&amp;"plugins/vc/tasks/screen-founder-connected-candidates.md","Screen Founder-Connected Candidate")</f>
        <v/>
      </c>
      <c r="D207" s="16">
        <f>HYPERLINK('Link Config'!$B$2&amp;"plugins/vc/skills/vc-sourcing-verdict-and-screening/SKILL.md","VC Sourcing Verdict &amp; Screening")</f>
        <v/>
      </c>
    </row>
    <row r="208" ht="18" customHeight="1" s="12">
      <c r="A208" s="15" t="inlineStr">
        <is>
          <t>Origination Pipeline</t>
        </is>
      </c>
      <c r="B208" s="15" t="inlineStr">
        <is>
          <t>Founder Engagement Screen</t>
        </is>
      </c>
      <c r="C208" s="16">
        <f>HYPERLINK('Link Config'!$B$2&amp;"plugins/vc/tasks/screen-founder-connected-candidates.md","Screen Founder-Connected Candidate")</f>
        <v/>
      </c>
      <c r="D208" s="16">
        <f>HYPERLINK('Link Config'!$B$2&amp;"plugins/vc/skills/vc-outreach-draft-queue/SKILL.md","VC Outreach Draft Queue")</f>
        <v/>
      </c>
    </row>
    <row r="209" ht="18" customHeight="1" s="12">
      <c r="A209" s="15" t="inlineStr">
        <is>
          <t>Origination Pipeline</t>
        </is>
      </c>
      <c r="B209" s="15" t="inlineStr">
        <is>
          <t>Founder Engagement Screen</t>
        </is>
      </c>
      <c r="C209" s="16">
        <f>HYPERLINK('Link Config'!$B$2&amp;"plugins/vc/tasks/screen-founder-connected-candidates.md","Screen Founder-Connected Candidate")</f>
        <v/>
      </c>
      <c r="D209" s="16">
        <f>HYPERLINK('Link Config'!$B$2&amp;"plugins/vc/skills/citation-enforcement/SKILL.md","Citation Enforcement")</f>
        <v/>
      </c>
    </row>
    <row r="210" ht="18" customHeight="1" s="12">
      <c r="A210" s="15" t="inlineStr">
        <is>
          <t>Origination Pipeline</t>
        </is>
      </c>
      <c r="B210" s="15" t="inlineStr">
        <is>
          <t>Founder Engagement Screen</t>
        </is>
      </c>
      <c r="C210" s="16">
        <f>HYPERLINK('Link Config'!$B$2&amp;"plugins/vc/tasks/screen-founder-connected-candidates.md","Screen Founder-Connected Candidate")</f>
        <v/>
      </c>
      <c r="D210" s="16">
        <f>HYPERLINK('Link Config'!$B$2&amp;"plugins/vc/skills/investment-screening-framework/SKILL.md","Investment Screening Framework")</f>
        <v/>
      </c>
    </row>
    <row r="211" ht="18" customHeight="1" s="12">
      <c r="A211" s="15" t="inlineStr">
        <is>
          <t>Origination Pipeline</t>
        </is>
      </c>
      <c r="B211" s="15" t="inlineStr">
        <is>
          <t>Founder Engagement Screen</t>
        </is>
      </c>
      <c r="C211" s="16">
        <f>HYPERLINK('Link Config'!$B$2&amp;"plugins/vc/tasks/review-outreach-outcome.md","Review Outreach Outcome")</f>
        <v/>
      </c>
      <c r="D211" s="16">
        <f>HYPERLINK('Link Config'!$B$2&amp;"plugins/vc/skills/vc-origination-deal-room-promotion/SKILL.md","Origination Deal Pipeline Promotion")</f>
        <v/>
      </c>
    </row>
    <row r="212" ht="18" customHeight="1" s="12">
      <c r="A212" s="15" t="inlineStr">
        <is>
          <t>Origination Pipeline</t>
        </is>
      </c>
      <c r="B212" s="15" t="inlineStr">
        <is>
          <t>Founder Engagement Screen</t>
        </is>
      </c>
      <c r="C212" s="16">
        <f>HYPERLINK('Link Config'!$B$2&amp;"plugins/vc/tasks/review-outreach-outcome.md","Review Outreach Outcome")</f>
        <v/>
      </c>
      <c r="D212" s="16">
        <f>HYPERLINK('Link Config'!$B$2&amp;"plugins/vc/skills/vc-outreach-draft-queue/SKILL.md","VC Outreach Draft Queue")</f>
        <v/>
      </c>
    </row>
    <row r="213" ht="18" customHeight="1" s="12">
      <c r="A213" s="15" t="inlineStr">
        <is>
          <t>Origination Pipeline</t>
        </is>
      </c>
      <c r="B213" s="15" t="inlineStr">
        <is>
          <t>Founder Engagement Screen</t>
        </is>
      </c>
      <c r="C213" s="16">
        <f>HYPERLINK('Link Config'!$B$2&amp;"plugins/vc/tasks/review-outreach-outcome.md","Review Outreach Outcome")</f>
        <v/>
      </c>
      <c r="D213" s="16">
        <f>HYPERLINK('Link Config'!$B$2&amp;"plugins/vc/skills/citation-enforcement/SKILL.md","Citation Enforcement")</f>
        <v/>
      </c>
    </row>
    <row r="214" ht="18" customHeight="1" s="12">
      <c r="A214" s="15" t="inlineStr">
        <is>
          <t>Origination Pipeline</t>
        </is>
      </c>
      <c r="B214" s="15" t="inlineStr">
        <is>
          <t>Added To Deal Pipeline</t>
        </is>
      </c>
      <c r="C214" s="16">
        <f>HYPERLINK('Link Config'!$B$2&amp;"plugins/vc/tasks/promote-candidate-to-deal-room.md","Promote Candidate to Deal Pipeline")</f>
        <v/>
      </c>
      <c r="D214" s="16">
        <f>HYPERLINK('Link Config'!$B$2&amp;"plugins/vc/skills/vc-origination-deal-room-promotion/SKILL.md","Origination Deal Pipeline Promotion")</f>
        <v/>
      </c>
    </row>
    <row r="215" ht="18" customHeight="1" s="12">
      <c r="A215" s="15" t="inlineStr">
        <is>
          <t>Origination Pipeline</t>
        </is>
      </c>
      <c r="B215" s="15" t="inlineStr">
        <is>
          <t>Added To Deal Pipeline</t>
        </is>
      </c>
      <c r="C215" s="16">
        <f>HYPERLINK('Link Config'!$B$2&amp;"plugins/vc/tasks/promote-candidate-to-deal-room.md","Promote Candidate to Deal Pipeline")</f>
        <v/>
      </c>
      <c r="D215" s="16">
        <f>HYPERLINK('Link Config'!$B$2&amp;"plugins/vc/skills/citation-enforcement/SKILL.md","Citation Enforcement")</f>
        <v/>
      </c>
    </row>
    <row r="216" ht="18" customHeight="1" s="12">
      <c r="A216" s="15" t="inlineStr">
        <is>
          <t>Origination Pipeline</t>
        </is>
      </c>
      <c r="B216" s="15" t="inlineStr">
        <is>
          <t>Added To Deal Pipeline</t>
        </is>
      </c>
      <c r="C216" s="16">
        <f>HYPERLINK('Link Config'!$B$2&amp;"plugins/vc/tasks/promote-candidate-to-deal-room.md","Promote Candidate to Deal Pipeline")</f>
        <v/>
      </c>
      <c r="D216" s="16">
        <f>HYPERLINK('Link Config'!$B$2&amp;"plugins/vc/skills/deal-room-setup-and-source-ingestion/SKILL.md","Deal Pipeline Setup &amp; Source Ingestion")</f>
        <v/>
      </c>
    </row>
    <row r="217" ht="18" customHeight="1" s="12">
      <c r="A217" s="15" t="inlineStr">
        <is>
          <t>Investment Management</t>
        </is>
      </c>
      <c r="B217" s="15" t="inlineStr">
        <is>
          <t>Setup</t>
        </is>
      </c>
      <c r="C217" s="16">
        <f>HYPERLINK('Link Config'!$B$2&amp;"plugins/vc/tasks/capture-investment-management-handoff.md","Capture Investment Management Handoff")</f>
        <v/>
      </c>
      <c r="D217" s="16">
        <f>HYPERLINK('Link Config'!$B$2&amp;"plugins/vc/skills/citation-enforcement/SKILL.md","Citation Enforcement")</f>
        <v/>
      </c>
    </row>
    <row r="218" ht="18" customHeight="1" s="12">
      <c r="A218" s="15" t="inlineStr">
        <is>
          <t>Investment Management</t>
        </is>
      </c>
      <c r="B218" s="15" t="inlineStr">
        <is>
          <t>Setup</t>
        </is>
      </c>
      <c r="C218" s="16">
        <f>HYPERLINK('Link Config'!$B$2&amp;"plugins/vc/tasks/capture-investment-management-handoff.md","Capture Investment Management Handoff")</f>
        <v/>
      </c>
      <c r="D218" s="16">
        <f>HYPERLINK('Link Config'!$B$2&amp;"plugins/vc/skills/vc-task-and-next-step-generation/SKILL.md","VC Task &amp; Next-Step Generation")</f>
        <v/>
      </c>
    </row>
    <row r="219" ht="18" customHeight="1" s="12">
      <c r="A219" s="15" t="inlineStr">
        <is>
          <t>Investment Management</t>
        </is>
      </c>
      <c r="B219" s="15" t="inlineStr">
        <is>
          <t>Formal Diligence</t>
        </is>
      </c>
      <c r="C219" s="16">
        <f>HYPERLINK('Link Config'!$B$2&amp;"plugins/vc/tasks/run-commercial-dd.md","Run Commercial DD")</f>
        <v/>
      </c>
      <c r="D219" s="16">
        <f>HYPERLINK('Link Config'!$B$2&amp;"plugins/vc/skills/citation-enforcement/SKILL.md","Citation Enforcement")</f>
        <v/>
      </c>
    </row>
    <row r="220" ht="18" customHeight="1" s="12">
      <c r="A220" s="15" t="inlineStr">
        <is>
          <t>Investment Management</t>
        </is>
      </c>
      <c r="B220" s="15" t="inlineStr">
        <is>
          <t>Formal Diligence</t>
        </is>
      </c>
      <c r="C220" s="16">
        <f>HYPERLINK('Link Config'!$B$2&amp;"plugins/vc/tasks/run-commercial-dd.md","Run Commercial DD")</f>
        <v/>
      </c>
      <c r="D220" s="16">
        <f>HYPERLINK('Link Config'!$B$2&amp;"plugins/vc/skills/commercial-diligence-workstream/SKILL.md","Commercial Diligence Workstream")</f>
        <v/>
      </c>
    </row>
    <row r="221" ht="18" customHeight="1" s="12">
      <c r="A221" s="15" t="inlineStr">
        <is>
          <t>Investment Management</t>
        </is>
      </c>
      <c r="B221" s="15" t="inlineStr">
        <is>
          <t>Formal Diligence</t>
        </is>
      </c>
      <c r="C221" s="16">
        <f>HYPERLINK('Link Config'!$B$2&amp;"plugins/vc/tasks/run-financial-dd.md","Run Financial DD")</f>
        <v/>
      </c>
      <c r="D221" s="16">
        <f>HYPERLINK('Link Config'!$B$2&amp;"plugins/vc/skills/citation-enforcement/SKILL.md","Citation Enforcement")</f>
        <v/>
      </c>
    </row>
    <row r="222" ht="18" customHeight="1" s="12">
      <c r="A222" s="15" t="inlineStr">
        <is>
          <t>Investment Management</t>
        </is>
      </c>
      <c r="B222" s="15" t="inlineStr">
        <is>
          <t>Formal Diligence</t>
        </is>
      </c>
      <c r="C222" s="16">
        <f>HYPERLINK('Link Config'!$B$2&amp;"plugins/vc/tasks/run-financial-dd.md","Run Financial DD")</f>
        <v/>
      </c>
      <c r="D222" s="16">
        <f>HYPERLINK('Link Config'!$B$2&amp;"plugins/vc/skills/financial-diligence-workstream/SKILL.md","Financial Diligence Workstream")</f>
        <v/>
      </c>
    </row>
    <row r="223" ht="18" customHeight="1" s="12">
      <c r="A223" s="15" t="inlineStr">
        <is>
          <t>Investment Management</t>
        </is>
      </c>
      <c r="B223" s="15" t="inlineStr">
        <is>
          <t>Formal Diligence</t>
        </is>
      </c>
      <c r="C223" s="16">
        <f>HYPERLINK('Link Config'!$B$2&amp;"plugins/vc/tasks/run-founder-evaluation.md","Run Founder Evaluation")</f>
        <v/>
      </c>
      <c r="D223" s="16">
        <f>HYPERLINK('Link Config'!$B$2&amp;"plugins/vc/skills/team-and-hiring-assessment/SKILL.md","Team &amp; Hiring Assessment")</f>
        <v/>
      </c>
    </row>
    <row r="224" ht="18" customHeight="1" s="12">
      <c r="A224" s="15" t="inlineStr">
        <is>
          <t>Investment Management</t>
        </is>
      </c>
      <c r="B224" s="15" t="inlineStr">
        <is>
          <t>Formal Diligence</t>
        </is>
      </c>
      <c r="C224" s="16">
        <f>HYPERLINK('Link Config'!$B$2&amp;"plugins/vc/tasks/run-founder-evaluation.md","Run Founder Evaluation")</f>
        <v/>
      </c>
      <c r="D224" s="16">
        <f>HYPERLINK('Link Config'!$B$2&amp;"plugins/vc/skills/red-flags-scanner/SKILL.md","Red Flags Scanner")</f>
        <v/>
      </c>
    </row>
    <row r="225" ht="18" customHeight="1" s="12">
      <c r="A225" s="15" t="inlineStr">
        <is>
          <t>Investment Management</t>
        </is>
      </c>
      <c r="B225" s="15" t="inlineStr">
        <is>
          <t>Formal Diligence</t>
        </is>
      </c>
      <c r="C225" s="16">
        <f>HYPERLINK('Link Config'!$B$2&amp;"plugins/vc/tasks/run-founder-evaluation.md","Run Founder Evaluation")</f>
        <v/>
      </c>
      <c r="D225" s="16">
        <f>HYPERLINK('Link Config'!$B$2&amp;"plugins/vc/skills/citation-enforcement/SKILL.md","Citation Enforcement")</f>
        <v/>
      </c>
    </row>
    <row r="226" ht="18" customHeight="1" s="12">
      <c r="A226" s="15" t="inlineStr">
        <is>
          <t>Investment Management</t>
        </is>
      </c>
      <c r="B226" s="15" t="inlineStr">
        <is>
          <t>Formal Diligence</t>
        </is>
      </c>
      <c r="C226" s="16">
        <f>HYPERLINK('Link Config'!$B$2&amp;"plugins/vc/tasks/run-founder-evaluation.md","Run Founder Evaluation")</f>
        <v/>
      </c>
      <c r="D226" s="16">
        <f>HYPERLINK('Link Config'!$B$2&amp;"plugins/vc/skills/founder-evaluation-and-reference-checking/SKILL.md","Founder Evaluation &amp; Reference Checking")</f>
        <v/>
      </c>
    </row>
    <row r="227" ht="18" customHeight="1" s="12">
      <c r="A227" s="15" t="inlineStr">
        <is>
          <t>Investment Management</t>
        </is>
      </c>
      <c r="B227" s="15" t="inlineStr">
        <is>
          <t>Formal Diligence</t>
        </is>
      </c>
      <c r="C227" s="16">
        <f>HYPERLINK('Link Config'!$B$2&amp;"plugins/vc/tasks/run-technical-dd.md","Run Technical DD")</f>
        <v/>
      </c>
      <c r="D227" s="16">
        <f>HYPERLINK('Link Config'!$B$2&amp;"plugins/vc/skills/team-and-hiring-assessment/SKILL.md","Team &amp; Hiring Assessment")</f>
        <v/>
      </c>
    </row>
    <row r="228" ht="18" customHeight="1" s="12">
      <c r="A228" s="15" t="inlineStr">
        <is>
          <t>Investment Management</t>
        </is>
      </c>
      <c r="B228" s="15" t="inlineStr">
        <is>
          <t>Formal Diligence</t>
        </is>
      </c>
      <c r="C228" s="16">
        <f>HYPERLINK('Link Config'!$B$2&amp;"plugins/vc/tasks/run-technical-dd.md","Run Technical DD")</f>
        <v/>
      </c>
      <c r="D228" s="16">
        <f>HYPERLINK('Link Config'!$B$2&amp;"plugins/vc/skills/red-flags-scanner/SKILL.md","Red Flags Scanner")</f>
        <v/>
      </c>
    </row>
    <row r="229" ht="18" customHeight="1" s="12">
      <c r="A229" s="15" t="inlineStr">
        <is>
          <t>Investment Management</t>
        </is>
      </c>
      <c r="B229" s="15" t="inlineStr">
        <is>
          <t>Formal Diligence</t>
        </is>
      </c>
      <c r="C229" s="16">
        <f>HYPERLINK('Link Config'!$B$2&amp;"plugins/vc/tasks/run-technical-dd.md","Run Technical DD")</f>
        <v/>
      </c>
      <c r="D229" s="16">
        <f>HYPERLINK('Link Config'!$B$2&amp;"plugins/vc/skills/citation-enforcement/SKILL.md","Citation Enforcement")</f>
        <v/>
      </c>
    </row>
    <row r="230" ht="18" customHeight="1" s="12">
      <c r="A230" s="15" t="inlineStr">
        <is>
          <t>Investment Management</t>
        </is>
      </c>
      <c r="B230" s="15" t="inlineStr">
        <is>
          <t>Formal Diligence</t>
        </is>
      </c>
      <c r="C230" s="16">
        <f>HYPERLINK('Link Config'!$B$2&amp;"plugins/vc/tasks/run-technical-dd.md","Run Technical DD")</f>
        <v/>
      </c>
      <c r="D230" s="16">
        <f>HYPERLINK('Link Config'!$B$2&amp;"plugins/vc/skills/technical-diligence-workstream/SKILL.md","Technical Diligence Workstream")</f>
        <v/>
      </c>
    </row>
    <row r="231" ht="18" customHeight="1" s="12">
      <c r="A231" s="15" t="inlineStr">
        <is>
          <t>Investment Management</t>
        </is>
      </c>
      <c r="B231" s="15" t="inlineStr">
        <is>
          <t>Formal Diligence</t>
        </is>
      </c>
      <c r="C231" s="16">
        <f>HYPERLINK('Link Config'!$B$2&amp;"plugins/vc/tasks/run-legal-diligence.md","Run Legal Diligence")</f>
        <v/>
      </c>
      <c r="D231" s="16">
        <f>HYPERLINK('Link Config'!$B$2&amp;"plugins/vc/skills/legal-diligence-coordination/SKILL.md","Legal Diligence Coordination")</f>
        <v/>
      </c>
    </row>
    <row r="232" ht="18" customHeight="1" s="12">
      <c r="A232" s="15" t="inlineStr">
        <is>
          <t>Investment Management</t>
        </is>
      </c>
      <c r="B232" s="15" t="inlineStr">
        <is>
          <t>Formal Diligence</t>
        </is>
      </c>
      <c r="C232" s="16">
        <f>HYPERLINK('Link Config'!$B$2&amp;"plugins/vc/tasks/run-legal-diligence.md","Run Legal Diligence")</f>
        <v/>
      </c>
      <c r="D232" s="16">
        <f>HYPERLINK('Link Config'!$B$2&amp;"plugins/vc/skills/red-flags-scanner/SKILL.md","Red Flags Scanner")</f>
        <v/>
      </c>
    </row>
    <row r="233" ht="18" customHeight="1" s="12">
      <c r="A233" s="15" t="inlineStr">
        <is>
          <t>Investment Management</t>
        </is>
      </c>
      <c r="B233" s="15" t="inlineStr">
        <is>
          <t>Formal Diligence</t>
        </is>
      </c>
      <c r="C233" s="16">
        <f>HYPERLINK('Link Config'!$B$2&amp;"plugins/vc/tasks/run-legal-diligence.md","Run Legal Diligence")</f>
        <v/>
      </c>
      <c r="D233" s="16">
        <f>HYPERLINK('Link Config'!$B$2&amp;"plugins/vc/skills/citation-enforcement/SKILL.md","Citation Enforcement")</f>
        <v/>
      </c>
    </row>
    <row r="234" ht="18" customHeight="1" s="12">
      <c r="A234" s="15" t="inlineStr">
        <is>
          <t>Investment Management</t>
        </is>
      </c>
      <c r="B234" s="15" t="inlineStr">
        <is>
          <t>Contracts</t>
        </is>
      </c>
      <c r="C234" s="16">
        <f>HYPERLINK('Link Config'!$B$2&amp;"plugins/vc/tasks/review-investment-documents.md","Review Investment Documents")</f>
        <v/>
      </c>
      <c r="D234" s="16">
        <f>HYPERLINK('Link Config'!$B$2&amp;"plugins/vc/skills/legal-diligence-coordination/SKILL.md","Legal Diligence Coordination")</f>
        <v/>
      </c>
    </row>
    <row r="235" ht="18" customHeight="1" s="12">
      <c r="A235" s="15" t="inlineStr">
        <is>
          <t>Investment Management</t>
        </is>
      </c>
      <c r="B235" s="15" t="inlineStr">
        <is>
          <t>Contracts</t>
        </is>
      </c>
      <c r="C235" s="16">
        <f>HYPERLINK('Link Config'!$B$2&amp;"plugins/vc/tasks/review-investment-documents.md","Review Investment Documents")</f>
        <v/>
      </c>
      <c r="D235" s="16">
        <f>HYPERLINK('Link Config'!$B$2&amp;"plugins/vc/skills/closing-coordination-and-cp-tracking/SKILL.md","Closing Coordination &amp; CP Tracking")</f>
        <v/>
      </c>
    </row>
    <row r="236" ht="18" customHeight="1" s="12">
      <c r="A236" s="15" t="inlineStr">
        <is>
          <t>Investment Management</t>
        </is>
      </c>
      <c r="B236" s="15" t="inlineStr">
        <is>
          <t>Contracts</t>
        </is>
      </c>
      <c r="C236" s="16">
        <f>HYPERLINK('Link Config'!$B$2&amp;"plugins/vc/tasks/review-investment-documents.md","Review Investment Documents")</f>
        <v/>
      </c>
      <c r="D236" s="16">
        <f>HYPERLINK('Link Config'!$B$2&amp;"plugins/vc/skills/citation-enforcement/SKILL.md","Citation Enforcement")</f>
        <v/>
      </c>
    </row>
    <row r="237" ht="18" customHeight="1" s="12">
      <c r="A237" s="15" t="inlineStr">
        <is>
          <t>Investment Management</t>
        </is>
      </c>
      <c r="B237" s="15" t="inlineStr">
        <is>
          <t>Closing</t>
        </is>
      </c>
      <c r="C237" s="16">
        <f>HYPERLINK('Link Config'!$B$2&amp;"plugins/vc/tasks/manage-closing-checklist.md","Manage Closing Checklist")</f>
        <v/>
      </c>
      <c r="D237" s="16">
        <f>HYPERLINK('Link Config'!$B$2&amp;"plugins/vc/skills/citation-enforcement/SKILL.md","Citation Enforcement")</f>
        <v/>
      </c>
    </row>
    <row r="238" ht="18" customHeight="1" s="12">
      <c r="A238" s="15" t="inlineStr">
        <is>
          <t>Investment Management</t>
        </is>
      </c>
      <c r="B238" s="15" t="inlineStr">
        <is>
          <t>Closing</t>
        </is>
      </c>
      <c r="C238" s="16">
        <f>HYPERLINK('Link Config'!$B$2&amp;"plugins/vc/tasks/manage-closing-checklist.md","Manage Closing Checklist")</f>
        <v/>
      </c>
      <c r="D238" s="16">
        <f>HYPERLINK('Link Config'!$B$2&amp;"plugins/vc/skills/closing-coordination-and-cp-tracking/SKILL.md","Closing Coordination &amp; CP Tracking")</f>
        <v/>
      </c>
    </row>
    <row r="239" ht="18" customHeight="1" s="12">
      <c r="A239" s="15" t="inlineStr">
        <is>
          <t>Investment Management</t>
        </is>
      </c>
      <c r="B239" s="15" t="inlineStr">
        <is>
          <t>Closing</t>
        </is>
      </c>
      <c r="C239" s="16">
        <f>HYPERLINK('Link Config'!$B$2&amp;"plugins/vc/tasks/manage-closing-checklist.md","Manage Closing Checklist")</f>
        <v/>
      </c>
      <c r="D239" s="16">
        <f>HYPERLINK('Link Config'!$B$2&amp;"plugins/vc/skills/vc-task-and-next-step-generation/SKILL.md","VC Task &amp; Next-Step Generation")</f>
        <v/>
      </c>
    </row>
    <row r="240" ht="18" customHeight="1" s="12">
      <c r="A240" s="15" t="inlineStr">
        <is>
          <t>Investment Management</t>
        </is>
      </c>
      <c r="B240" s="15" t="inlineStr">
        <is>
          <t>Closing</t>
        </is>
      </c>
      <c r="C240" s="16">
        <f>HYPERLINK('Link Config'!$B$2&amp;"plugins/vc/tasks/verify-conditions-precedent.md","Verify Conditions Precedent")</f>
        <v/>
      </c>
      <c r="D240" s="16">
        <f>HYPERLINK('Link Config'!$B$2&amp;"plugins/vc/skills/citation-enforcement/SKILL.md","Citation Enforcement")</f>
        <v/>
      </c>
    </row>
    <row r="241" ht="18" customHeight="1" s="12">
      <c r="A241" s="15" t="inlineStr">
        <is>
          <t>Investment Management</t>
        </is>
      </c>
      <c r="B241" s="15" t="inlineStr">
        <is>
          <t>Closing</t>
        </is>
      </c>
      <c r="C241" s="16">
        <f>HYPERLINK('Link Config'!$B$2&amp;"plugins/vc/tasks/verify-conditions-precedent.md","Verify Conditions Precedent")</f>
        <v/>
      </c>
      <c r="D241" s="16">
        <f>HYPERLINK('Link Config'!$B$2&amp;"plugins/vc/skills/closing-coordination-and-cp-tracking/SKILL.md","Closing Coordination &amp; CP Tracking")</f>
        <v/>
      </c>
    </row>
    <row r="242" ht="18" customHeight="1" s="12">
      <c r="A242" s="15" t="inlineStr">
        <is>
          <t>Investment Management</t>
        </is>
      </c>
      <c r="B242" s="15" t="inlineStr">
        <is>
          <t>Closing</t>
        </is>
      </c>
      <c r="C242" s="16">
        <f>HYPERLINK('Link Config'!$B$2&amp;"plugins/vc/tasks/coordinate-capital-call-and-completion.md","Coordinate Capital Call And Completion")</f>
        <v/>
      </c>
      <c r="D242" s="16">
        <f>HYPERLINK('Link Config'!$B$2&amp;"plugins/vc/skills/closing-coordination-and-cp-tracking/SKILL.md","Closing Coordination &amp; CP Tracking")</f>
        <v/>
      </c>
    </row>
    <row r="243" ht="18" customHeight="1" s="12">
      <c r="A243" s="15" t="inlineStr">
        <is>
          <t>Investment Management</t>
        </is>
      </c>
      <c r="B243" s="15" t="inlineStr">
        <is>
          <t>Closing</t>
        </is>
      </c>
      <c r="C243" s="16">
        <f>HYPERLINK('Link Config'!$B$2&amp;"plugins/vc/tasks/coordinate-capital-call-and-completion.md","Coordinate Capital Call And Completion")</f>
        <v/>
      </c>
      <c r="D243" s="16">
        <f>HYPERLINK('Link Config'!$B$2&amp;"plugins/vc/skills/vc-task-and-next-step-generation/SKILL.md","VC Task &amp; Next-Step Generation")</f>
        <v/>
      </c>
    </row>
    <row r="244" ht="18" customHeight="1" s="12">
      <c r="A244" s="15" t="inlineStr">
        <is>
          <t>Investment Management</t>
        </is>
      </c>
      <c r="B244" s="15" t="inlineStr">
        <is>
          <t>Closing</t>
        </is>
      </c>
      <c r="C244" s="16">
        <f>HYPERLINK('Link Config'!$B$2&amp;"plugins/vc/tasks/coordinate-capital-call-and-completion.md","Coordinate Capital Call And Completion")</f>
        <v/>
      </c>
      <c r="D244" s="16">
        <f>HYPERLINK('Link Config'!$B$2&amp;"plugins/vc/skills/citation-enforcement/SKILL.md","Citation Enforcement")</f>
        <v/>
      </c>
    </row>
    <row r="245" ht="18" customHeight="1" s="12">
      <c r="A245" s="15" t="inlineStr">
        <is>
          <t>Investment Management</t>
        </is>
      </c>
      <c r="B245" s="15" t="inlineStr">
        <is>
          <t>Closing</t>
        </is>
      </c>
      <c r="C245" s="16">
        <f>HYPERLINK('Link Config'!$B$2&amp;"plugins/vc/tasks/prepare-portfolio-onboarding.md","Prepare Portfolio Onboarding")</f>
        <v/>
      </c>
      <c r="D245" s="16">
        <f>HYPERLINK('Link Config'!$B$2&amp;"plugins/vc/skills/citation-enforcement/SKILL.md","Citation Enforcement")</f>
        <v/>
      </c>
    </row>
    <row r="246" ht="18" customHeight="1" s="12">
      <c r="A246" s="15" t="inlineStr">
        <is>
          <t>Investment Management</t>
        </is>
      </c>
      <c r="B246" s="15" t="inlineStr">
        <is>
          <t>Closing</t>
        </is>
      </c>
      <c r="C246" s="16">
        <f>HYPERLINK('Link Config'!$B$2&amp;"plugins/vc/tasks/prepare-portfolio-onboarding.md","Prepare Portfolio Onboarding")</f>
        <v/>
      </c>
      <c r="D246" s="16">
        <f>HYPERLINK('Link Config'!$B$2&amp;"plugins/vc/skills/portfolio-onboarding-and-100-day-plan/SKILL.md","Portfolio Onboarding &amp; 100-Day Plan")</f>
        <v/>
      </c>
    </row>
  </sheetData>
  <autoFilter ref="A1:D24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214"/>
  <sheetViews>
    <sheetView workbookViewId="0">
      <pane ySplit="2" topLeftCell="A3" activePane="bottomLeft" state="frozen"/>
      <selection pane="bottomLeft" activeCell="A1" sqref="A1"/>
    </sheetView>
  </sheetViews>
  <sheetFormatPr baseColWidth="8" defaultRowHeight="15"/>
  <cols>
    <col width="24" customWidth="1" style="12" min="1" max="1"/>
    <col width="22" customWidth="1" style="12" min="2" max="2"/>
    <col width="38" customWidth="1" style="12" min="3" max="3"/>
    <col width="62" customWidth="1" style="12" min="4" max="4"/>
    <col width="20" customWidth="1" style="12" min="5" max="5"/>
    <col width="36" customWidth="1" style="12" min="6" max="6"/>
  </cols>
  <sheetData>
    <row r="1" ht="18" customHeight="1" s="12">
      <c r="A1" s="13" t="inlineStr">
        <is>
          <t>Project</t>
        </is>
      </c>
      <c r="B1" s="13" t="inlineStr">
        <is>
          <t>Stage</t>
        </is>
      </c>
      <c r="C1" s="13" t="inlineStr">
        <is>
          <t>Task</t>
        </is>
      </c>
      <c r="D1" s="13" t="inlineStr">
        <is>
          <t>Document</t>
        </is>
      </c>
      <c r="E1" s="13" t="inlineStr">
        <is>
          <t>Usage</t>
        </is>
      </c>
      <c r="F1" s="13" t="inlineStr">
        <is>
          <t>Output Field</t>
        </is>
      </c>
    </row>
    <row r="2" ht="18" customHeight="1" s="12">
      <c r="A2" s="14" t="inlineStr">
        <is>
          <t>Project Type</t>
        </is>
      </c>
      <c r="B2" s="14" t="inlineStr">
        <is>
          <t>Stage / Pseudo-stage</t>
        </is>
      </c>
      <c r="C2" s="14" t="inlineStr">
        <is>
          <t>Linked task</t>
        </is>
      </c>
      <c r="D2" s="14" t="inlineStr">
        <is>
          <t>Linked document</t>
        </is>
      </c>
      <c r="E2" s="14" t="inlineStr">
        <is>
          <t>Document usage</t>
        </is>
      </c>
      <c r="F2" s="14" t="inlineStr">
        <is>
          <t>Output field</t>
        </is>
      </c>
    </row>
    <row r="3" ht="18" customHeight="1" s="12">
      <c r="A3" s="15" t="inlineStr">
        <is>
          <t>Deal Pipeline</t>
        </is>
      </c>
      <c r="B3" s="15" t="inlineStr">
        <is>
          <t>Setup</t>
        </is>
      </c>
      <c r="C3" s="16">
        <f>HYPERLINK('Link Config'!$B$2&amp;"plugins/vc/tasks/screen-inbound-opportunity.md","Capture Opportunity Intake")</f>
        <v/>
      </c>
      <c r="D3" s="16">
        <f>HYPERLINK('Link Config'!$B$2&amp;"plugins/vc/alludium/documents/deal-room/deal-room-sop.md","Deal Pipeline Operating SOP (vc.document.deal_room_sop)")</f>
        <v/>
      </c>
      <c r="E3" s="15" t="inlineStr">
        <is>
          <t>operating_guidance</t>
        </is>
      </c>
      <c r="F3" s="15" t="inlineStr"/>
    </row>
    <row r="4" ht="18" customHeight="1" s="12">
      <c r="A4" s="15" t="inlineStr">
        <is>
          <t>Deal Pipeline</t>
        </is>
      </c>
      <c r="B4" s="15" t="inlineStr">
        <is>
          <t>Setup</t>
        </is>
      </c>
      <c r="C4" s="16">
        <f>HYPERLINK('Link Config'!$B$2&amp;"plugins/vc/tasks/screen-inbound-opportunity.md","Capture Opportunity Intake")</f>
        <v/>
      </c>
      <c r="D4" s="16">
        <f>HYPERLINK('Link Config'!$B$2&amp;"plugins/vc/alludium/documents/shared/evidence-citation-style-guide.md","Evidence And Citation Style Guide (vc.document.evidence_citation_style_guide)")</f>
        <v/>
      </c>
      <c r="E4" s="15" t="inlineStr">
        <is>
          <t>style_guide</t>
        </is>
      </c>
      <c r="F4" s="15" t="inlineStr"/>
    </row>
    <row r="5" ht="18" customHeight="1" s="12">
      <c r="A5" s="15" t="inlineStr">
        <is>
          <t>Deal Pipeline</t>
        </is>
      </c>
      <c r="B5" s="15" t="inlineStr">
        <is>
          <t>Setup</t>
        </is>
      </c>
      <c r="C5" s="16">
        <f>HYPERLINK('Link Config'!$B$2&amp;"plugins/vc/tasks/screen-inbound-opportunity.md","Capture Opportunity Intake")</f>
        <v/>
      </c>
      <c r="D5" s="16">
        <f>HYPERLINK('Link Config'!$B$2&amp;"plugins/vc/alludium/documents/shared/template-use-guidance.md","Template Use Guidance (vc.document.template_use_guidance)")</f>
        <v/>
      </c>
      <c r="E5" s="15" t="inlineStr">
        <is>
          <t>operating_guidance</t>
        </is>
      </c>
      <c r="F5" s="15" t="inlineStr"/>
    </row>
    <row r="6" ht="18" customHeight="1" s="12">
      <c r="A6" s="15" t="inlineStr">
        <is>
          <t>Deal Pipeline</t>
        </is>
      </c>
      <c r="B6" s="15" t="inlineStr">
        <is>
          <t>General</t>
        </is>
      </c>
      <c r="C6" s="16">
        <f>HYPERLINK('Link Config'!$B$2&amp;"plugins/vc/tasks/prepare-initial-call.md","Prepare Meeting")</f>
        <v/>
      </c>
      <c r="D6" s="16">
        <f>HYPERLINK('Link Config'!$B$2&amp;"plugins/vc/alludium/documents/deal-room/initial-call-brief-template.md","Initial Call Brief Template (vc.document.initial_call_brief_template)")</f>
        <v/>
      </c>
      <c r="E6" s="15" t="inlineStr">
        <is>
          <t>output_template</t>
        </is>
      </c>
      <c r="F6" s="15" t="inlineStr">
        <is>
          <t>initial_call_brief_artifact_id</t>
        </is>
      </c>
    </row>
    <row r="7" ht="18" customHeight="1" s="12">
      <c r="A7" s="15" t="inlineStr">
        <is>
          <t>Deal Pipeline</t>
        </is>
      </c>
      <c r="B7" s="15" t="inlineStr">
        <is>
          <t>General</t>
        </is>
      </c>
      <c r="C7" s="16">
        <f>HYPERLINK('Link Config'!$B$2&amp;"plugins/vc/tasks/prepare-initial-call.md","Prepare Meeting")</f>
        <v/>
      </c>
      <c r="D7" s="16">
        <f>HYPERLINK('Link Config'!$B$2&amp;"plugins/vc/alludium/documents/shared/evidence-citation-style-guide.md","Evidence And Citation Style Guide (vc.document.evidence_citation_style_guide)")</f>
        <v/>
      </c>
      <c r="E7" s="15" t="inlineStr">
        <is>
          <t>style_guide</t>
        </is>
      </c>
      <c r="F7" s="15" t="inlineStr"/>
    </row>
    <row r="8" ht="18" customHeight="1" s="12">
      <c r="A8" s="15" t="inlineStr">
        <is>
          <t>Deal Pipeline</t>
        </is>
      </c>
      <c r="B8" s="15" t="inlineStr">
        <is>
          <t>General</t>
        </is>
      </c>
      <c r="C8" s="16">
        <f>HYPERLINK('Link Config'!$B$2&amp;"plugins/vc/tasks/prepare-initial-call.md","Prepare Meeting")</f>
        <v/>
      </c>
      <c r="D8" s="16">
        <f>HYPERLINK('Link Config'!$B$2&amp;"plugins/vc/alludium/documents/shared/template-use-guidance.md","Template Use Guidance (vc.document.template_use_guidance)")</f>
        <v/>
      </c>
      <c r="E8" s="15" t="inlineStr">
        <is>
          <t>operating_guidance</t>
        </is>
      </c>
      <c r="F8" s="15" t="inlineStr"/>
    </row>
    <row r="9" ht="18" customHeight="1" s="12">
      <c r="A9" s="15" t="inlineStr">
        <is>
          <t>Deal Pipeline</t>
        </is>
      </c>
      <c r="B9" s="15" t="inlineStr">
        <is>
          <t>General</t>
        </is>
      </c>
      <c r="C9" s="16">
        <f>HYPERLINK('Link Config'!$B$2&amp;"plugins/vc/tasks/request-founder-materials.md","Request Founder Materials")</f>
        <v/>
      </c>
      <c r="D9" s="16">
        <f>HYPERLINK('Link Config'!$B$2&amp;"plugins/vc/alludium/documents/deal-room/founder-materials-request-template.md","Founder Materials Request Template (vc.document.founder_materials_request_template)")</f>
        <v/>
      </c>
      <c r="E9" s="15" t="inlineStr">
        <is>
          <t>output_template</t>
        </is>
      </c>
      <c r="F9" s="15" t="inlineStr">
        <is>
          <t>founder_materials_request_artifact_id</t>
        </is>
      </c>
    </row>
    <row r="10" ht="18" customHeight="1" s="12">
      <c r="A10" s="15" t="inlineStr">
        <is>
          <t>Deal Pipeline</t>
        </is>
      </c>
      <c r="B10" s="15" t="inlineStr">
        <is>
          <t>General</t>
        </is>
      </c>
      <c r="C10" s="16">
        <f>HYPERLINK('Link Config'!$B$2&amp;"plugins/vc/tasks/request-founder-materials.md","Request Founder Materials")</f>
        <v/>
      </c>
      <c r="D10" s="16">
        <f>HYPERLINK('Link Config'!$B$2&amp;"plugins/vc/alludium/documents/shared/file-naming-source-index-sop.md","File Naming And Source Index SOP (vc.document.file_naming_source_index_sop)")</f>
        <v/>
      </c>
      <c r="E10" s="15" t="inlineStr">
        <is>
          <t>operating_guidance</t>
        </is>
      </c>
      <c r="F10" s="15" t="inlineStr"/>
    </row>
    <row r="11" ht="18" customHeight="1" s="12">
      <c r="A11" s="15" t="inlineStr">
        <is>
          <t>Deal Pipeline</t>
        </is>
      </c>
      <c r="B11" s="15" t="inlineStr">
        <is>
          <t>General</t>
        </is>
      </c>
      <c r="C11" s="16">
        <f>HYPERLINK('Link Config'!$B$2&amp;"plugins/vc/tasks/request-founder-materials.md","Request Founder Materials")</f>
        <v/>
      </c>
      <c r="D11" s="16">
        <f>HYPERLINK('Link Config'!$B$2&amp;"plugins/vc/alludium/documents/shared/template-use-guidance.md","Template Use Guidance (vc.document.template_use_guidance)")</f>
        <v/>
      </c>
      <c r="E11" s="15" t="inlineStr">
        <is>
          <t>operating_guidance</t>
        </is>
      </c>
      <c r="F11" s="15" t="inlineStr"/>
    </row>
    <row r="12" ht="18" customHeight="1" s="12">
      <c r="A12" s="15" t="inlineStr">
        <is>
          <t>Deal Pipeline</t>
        </is>
      </c>
      <c r="B12" s="15" t="inlineStr">
        <is>
          <t>General</t>
        </is>
      </c>
      <c r="C12" s="16">
        <f>HYPERLINK('Link Config'!$B$2&amp;"plugins/vc/tasks/summarize-initial-call.md","Summarize Meeting Records")</f>
        <v/>
      </c>
      <c r="D12" s="16">
        <f>HYPERLINK('Link Config'!$B$2&amp;"plugins/vc/alludium/documents/deal-room/customer-insights-summary-template.md","Customer Insights Summary Template (vc.document.customer_insights_summary_template)")</f>
        <v/>
      </c>
      <c r="E12" s="15" t="inlineStr">
        <is>
          <t>output_template</t>
        </is>
      </c>
      <c r="F12" s="15" t="inlineStr">
        <is>
          <t>customer_insights_artifact_id</t>
        </is>
      </c>
    </row>
    <row r="13" ht="18" customHeight="1" s="12">
      <c r="A13" s="15" t="inlineStr">
        <is>
          <t>Deal Pipeline</t>
        </is>
      </c>
      <c r="B13" s="15" t="inlineStr">
        <is>
          <t>General</t>
        </is>
      </c>
      <c r="C13" s="16">
        <f>HYPERLINK('Link Config'!$B$2&amp;"plugins/vc/tasks/summarize-initial-call.md","Summarize Meeting Records")</f>
        <v/>
      </c>
      <c r="D13" s="16">
        <f>HYPERLINK('Link Config'!$B$2&amp;"plugins/vc/alludium/documents/shared/evidence-citation-style-guide.md","Evidence And Citation Style Guide (vc.document.evidence_citation_style_guide)")</f>
        <v/>
      </c>
      <c r="E13" s="15" t="inlineStr">
        <is>
          <t>style_guide</t>
        </is>
      </c>
      <c r="F13" s="15" t="inlineStr"/>
    </row>
    <row r="14" ht="18" customHeight="1" s="12">
      <c r="A14" s="15" t="inlineStr">
        <is>
          <t>Deal Pipeline</t>
        </is>
      </c>
      <c r="B14" s="15" t="inlineStr">
        <is>
          <t>General</t>
        </is>
      </c>
      <c r="C14" s="16">
        <f>HYPERLINK('Link Config'!$B$2&amp;"plugins/vc/tasks/summarize-initial-call.md","Summarize Meeting Records")</f>
        <v/>
      </c>
      <c r="D14" s="16">
        <f>HYPERLINK('Link Config'!$B$2&amp;"plugins/vc/alludium/documents/shared/template-use-guidance.md","Template Use Guidance (vc.document.template_use_guidance)")</f>
        <v/>
      </c>
      <c r="E14" s="15" t="inlineStr">
        <is>
          <t>operating_guidance</t>
        </is>
      </c>
      <c r="F14" s="15" t="inlineStr"/>
    </row>
    <row r="15" ht="18" customHeight="1" s="12">
      <c r="A15" s="15" t="inlineStr">
        <is>
          <t>Deal Pipeline</t>
        </is>
      </c>
      <c r="B15" s="15" t="inlineStr">
        <is>
          <t>General</t>
        </is>
      </c>
      <c r="C15" s="16">
        <f>HYPERLINK('Link Config'!$B$2&amp;"plugins/vc/tasks/review-opportunity-status.md","Review Opportunity Status")</f>
        <v/>
      </c>
      <c r="D15" s="16">
        <f>HYPERLINK('Link Config'!$B$2&amp;"plugins/vc/alludium/documents/deal-room/deal-room-sop.md","Deal Pipeline Operating SOP (vc.document.deal_room_sop)")</f>
        <v/>
      </c>
      <c r="E15" s="15" t="inlineStr">
        <is>
          <t>operating_guidance</t>
        </is>
      </c>
      <c r="F15" s="15" t="inlineStr"/>
    </row>
    <row r="16" ht="18" customHeight="1" s="12">
      <c r="A16" s="15" t="inlineStr">
        <is>
          <t>Deal Pipeline</t>
        </is>
      </c>
      <c r="B16" s="15" t="inlineStr">
        <is>
          <t>General</t>
        </is>
      </c>
      <c r="C16" s="16">
        <f>HYPERLINK('Link Config'!$B$2&amp;"plugins/vc/tasks/review-opportunity-status.md","Review Opportunity Status")</f>
        <v/>
      </c>
      <c r="D16" s="16">
        <f>HYPERLINK('Link Config'!$B$2&amp;"plugins/vc/alludium/documents/shared/opportunity-evaluation-framework.md","Opportunity Evaluation Framework (vc.document.opportunity_evaluation_framework)")</f>
        <v/>
      </c>
      <c r="E16" s="15" t="inlineStr">
        <is>
          <t>methodology</t>
        </is>
      </c>
      <c r="F16" s="15" t="inlineStr"/>
    </row>
    <row r="17" ht="18" customHeight="1" s="12">
      <c r="A17" s="15" t="inlineStr">
        <is>
          <t>Deal Pipeline</t>
        </is>
      </c>
      <c r="B17" s="15" t="inlineStr">
        <is>
          <t>General</t>
        </is>
      </c>
      <c r="C17" s="16">
        <f>HYPERLINK('Link Config'!$B$2&amp;"plugins/vc/tasks/review-opportunity-status.md","Review Opportunity Status")</f>
        <v/>
      </c>
      <c r="D17" s="16">
        <f>HYPERLINK('Link Config'!$B$2&amp;"plugins/vc/alludium/documents/shared/evaluation-workstream-guide.md","Evaluation Workstream Guide (vc.document.evaluation_workstream_guide)")</f>
        <v/>
      </c>
      <c r="E17" s="15" t="inlineStr">
        <is>
          <t>methodology</t>
        </is>
      </c>
      <c r="F17" s="15" t="inlineStr"/>
    </row>
    <row r="18" ht="18" customHeight="1" s="12">
      <c r="A18" s="15" t="inlineStr">
        <is>
          <t>Deal Pipeline</t>
        </is>
      </c>
      <c r="B18" s="15" t="inlineStr">
        <is>
          <t>General</t>
        </is>
      </c>
      <c r="C18" s="16">
        <f>HYPERLINK('Link Config'!$B$2&amp;"plugins/vc/tasks/review-opportunity-status.md","Review Opportunity Status")</f>
        <v/>
      </c>
      <c r="D18" s="16">
        <f>HYPERLINK('Link Config'!$B$2&amp;"plugins/vc/alludium/documents/shared/evidence-citation-style-guide.md","Evidence And Citation Style Guide (vc.document.evidence_citation_style_guide)")</f>
        <v/>
      </c>
      <c r="E18" s="15" t="inlineStr">
        <is>
          <t>style_guide</t>
        </is>
      </c>
      <c r="F18" s="15" t="inlineStr"/>
    </row>
    <row r="19" ht="18" customHeight="1" s="12">
      <c r="A19" s="15" t="inlineStr">
        <is>
          <t>Deal Pipeline</t>
        </is>
      </c>
      <c r="B19" s="15" t="inlineStr">
        <is>
          <t>General</t>
        </is>
      </c>
      <c r="C19" s="16">
        <f>HYPERLINK('Link Config'!$B$2&amp;"plugins/vc/tasks/review-opportunity-status.md","Review Opportunity Status")</f>
        <v/>
      </c>
      <c r="D19" s="16">
        <f>HYPERLINK('Link Config'!$B$2&amp;"plugins/vc/alludium/documents/shared/template-use-guidance.md","Template Use Guidance (vc.document.template_use_guidance)")</f>
        <v/>
      </c>
      <c r="E19" s="15" t="inlineStr">
        <is>
          <t>operating_guidance</t>
        </is>
      </c>
      <c r="F19" s="15" t="inlineStr"/>
    </row>
    <row r="20" ht="18" customHeight="1" s="12">
      <c r="A20" s="15" t="inlineStr">
        <is>
          <t>Deal Pipeline</t>
        </is>
      </c>
      <c r="B20" s="15" t="inlineStr">
        <is>
          <t>Screening</t>
        </is>
      </c>
      <c r="C20" s="16">
        <f>HYPERLINK('Link Config'!$B$2&amp;"plugins/vc/tasks/run-investment-screen.md","Run Investment Fit Screen")</f>
        <v/>
      </c>
      <c r="D20" s="16">
        <f>HYPERLINK('Link Config'!$B$2&amp;"plugins/vc/alludium/documents/shared/investment-screening-framework.md","Investment Screening Framework (vc.document.investment_screening_framework)")</f>
        <v/>
      </c>
      <c r="E20" s="15" t="inlineStr">
        <is>
          <t>methodology</t>
        </is>
      </c>
      <c r="F20" s="15" t="inlineStr">
        <is>
          <t>investment_screen_scorecard_artifact_id</t>
        </is>
      </c>
    </row>
    <row r="21" ht="18" customHeight="1" s="12">
      <c r="A21" s="15" t="inlineStr">
        <is>
          <t>Deal Pipeline</t>
        </is>
      </c>
      <c r="B21" s="15" t="inlineStr">
        <is>
          <t>Screening</t>
        </is>
      </c>
      <c r="C21" s="16">
        <f>HYPERLINK('Link Config'!$B$2&amp;"plugins/vc/tasks/run-investment-screen.md","Run Investment Fit Screen")</f>
        <v/>
      </c>
      <c r="D21" s="16">
        <f>HYPERLINK('Link Config'!$B$2&amp;"plugins/vc/alludium/documents/shared/evidence-citation-style-guide.md","Evidence And Citation Style Guide (vc.document.evidence_citation_style_guide)")</f>
        <v/>
      </c>
      <c r="E21" s="15" t="inlineStr">
        <is>
          <t>style_guide</t>
        </is>
      </c>
      <c r="F21" s="15" t="inlineStr"/>
    </row>
    <row r="22" ht="18" customHeight="1" s="12">
      <c r="A22" s="15" t="inlineStr">
        <is>
          <t>Deal Pipeline</t>
        </is>
      </c>
      <c r="B22" s="15" t="inlineStr">
        <is>
          <t>Screening</t>
        </is>
      </c>
      <c r="C22" s="16">
        <f>HYPERLINK('Link Config'!$B$2&amp;"plugins/vc/tasks/run-investment-screen.md","Run Investment Fit Screen")</f>
        <v/>
      </c>
      <c r="D22" s="16">
        <f>HYPERLINK('Link Config'!$B$2&amp;"plugins/vc/alludium/documents/shared/template-use-guidance.md","Template Use Guidance (vc.document.template_use_guidance)")</f>
        <v/>
      </c>
      <c r="E22" s="15" t="inlineStr">
        <is>
          <t>operating_guidance</t>
        </is>
      </c>
      <c r="F22" s="15" t="inlineStr"/>
    </row>
    <row r="23" ht="18" customHeight="1" s="12">
      <c r="A23" s="15" t="inlineStr">
        <is>
          <t>Deal Pipeline</t>
        </is>
      </c>
      <c r="B23" s="15" t="inlineStr">
        <is>
          <t>Evaluation</t>
        </is>
      </c>
      <c r="C23" s="16">
        <f>HYPERLINK('Link Config'!$B$2&amp;"plugins/vc/tasks/run-follow-up-evaluation.md","Run Opportunity Evaluation")</f>
        <v/>
      </c>
      <c r="D23" s="16">
        <f>HYPERLINK('Link Config'!$B$2&amp;"plugins/vc/alludium/documents/deal-room/follow-up-evaluation-template.md","Opportunity Evaluation Template (vc.document.follow_up_evaluation_template)")</f>
        <v/>
      </c>
      <c r="E23" s="15" t="inlineStr">
        <is>
          <t>output_template</t>
        </is>
      </c>
      <c r="F23" s="15" t="inlineStr">
        <is>
          <t>follow_up_evaluation_artifact_id</t>
        </is>
      </c>
    </row>
    <row r="24" ht="18" customHeight="1" s="12">
      <c r="A24" s="15" t="inlineStr">
        <is>
          <t>Deal Pipeline</t>
        </is>
      </c>
      <c r="B24" s="15" t="inlineStr">
        <is>
          <t>Evaluation</t>
        </is>
      </c>
      <c r="C24" s="16">
        <f>HYPERLINK('Link Config'!$B$2&amp;"plugins/vc/tasks/run-follow-up-evaluation.md","Run Opportunity Evaluation")</f>
        <v/>
      </c>
      <c r="D24" s="16">
        <f>HYPERLINK('Link Config'!$B$2&amp;"plugins/vc/alludium/documents/shared/opportunity-evaluation-framework.md","Opportunity Evaluation Framework (vc.document.opportunity_evaluation_framework)")</f>
        <v/>
      </c>
      <c r="E24" s="15" t="inlineStr">
        <is>
          <t>methodology</t>
        </is>
      </c>
      <c r="F24" s="15" t="inlineStr"/>
    </row>
    <row r="25" ht="18" customHeight="1" s="12">
      <c r="A25" s="15" t="inlineStr">
        <is>
          <t>Deal Pipeline</t>
        </is>
      </c>
      <c r="B25" s="15" t="inlineStr">
        <is>
          <t>Evaluation</t>
        </is>
      </c>
      <c r="C25" s="16">
        <f>HYPERLINK('Link Config'!$B$2&amp;"plugins/vc/tasks/run-follow-up-evaluation.md","Run Opportunity Evaluation")</f>
        <v/>
      </c>
      <c r="D25" s="16">
        <f>HYPERLINK('Link Config'!$B$2&amp;"plugins/vc/alludium/documents/shared/evaluation-workstream-guide.md","Evaluation Workstream Guide (vc.document.evaluation_workstream_guide)")</f>
        <v/>
      </c>
      <c r="E25" s="15" t="inlineStr">
        <is>
          <t>methodology</t>
        </is>
      </c>
      <c r="F25" s="15" t="inlineStr"/>
    </row>
    <row r="26" ht="18" customHeight="1" s="12">
      <c r="A26" s="15" t="inlineStr">
        <is>
          <t>Deal Pipeline</t>
        </is>
      </c>
      <c r="B26" s="15" t="inlineStr">
        <is>
          <t>Evaluation</t>
        </is>
      </c>
      <c r="C26" s="16">
        <f>HYPERLINK('Link Config'!$B$2&amp;"plugins/vc/tasks/run-follow-up-evaluation.md","Run Opportunity Evaluation")</f>
        <v/>
      </c>
      <c r="D26" s="16">
        <f>HYPERLINK('Link Config'!$B$2&amp;"plugins/vc/alludium/documents/deal-room/commercial-evaluation-guide.md","Commercial Evaluation Guide (vc.document.commercial_evaluation_guide)")</f>
        <v/>
      </c>
      <c r="E26" s="15" t="inlineStr">
        <is>
          <t>methodology</t>
        </is>
      </c>
      <c r="F26" s="15" t="inlineStr"/>
    </row>
    <row r="27" ht="18" customHeight="1" s="12">
      <c r="A27" s="15" t="inlineStr">
        <is>
          <t>Deal Pipeline</t>
        </is>
      </c>
      <c r="B27" s="15" t="inlineStr">
        <is>
          <t>Evaluation</t>
        </is>
      </c>
      <c r="C27" s="16">
        <f>HYPERLINK('Link Config'!$B$2&amp;"plugins/vc/tasks/run-follow-up-evaluation.md","Run Opportunity Evaluation")</f>
        <v/>
      </c>
      <c r="D27" s="16">
        <f>HYPERLINK('Link Config'!$B$2&amp;"plugins/vc/alludium/documents/deal-room/technical-evaluation-guide.md","Technical Evaluation Guide (vc.document.technical_evaluation_guide)")</f>
        <v/>
      </c>
      <c r="E27" s="15" t="inlineStr">
        <is>
          <t>methodology</t>
        </is>
      </c>
      <c r="F27" s="15" t="inlineStr"/>
    </row>
    <row r="28" ht="18" customHeight="1" s="12">
      <c r="A28" s="15" t="inlineStr">
        <is>
          <t>Deal Pipeline</t>
        </is>
      </c>
      <c r="B28" s="15" t="inlineStr">
        <is>
          <t>Evaluation</t>
        </is>
      </c>
      <c r="C28" s="16">
        <f>HYPERLINK('Link Config'!$B$2&amp;"plugins/vc/tasks/run-follow-up-evaluation.md","Run Opportunity Evaluation")</f>
        <v/>
      </c>
      <c r="D28" s="16">
        <f>HYPERLINK('Link Config'!$B$2&amp;"plugins/vc/alludium/documents/deal-room/financial-evaluation-guide.md","Financial Evaluation Guide (vc.document.financial_evaluation_guide)")</f>
        <v/>
      </c>
      <c r="E28" s="15" t="inlineStr">
        <is>
          <t>methodology</t>
        </is>
      </c>
      <c r="F28" s="15" t="inlineStr"/>
    </row>
    <row r="29" ht="18" customHeight="1" s="12">
      <c r="A29" s="15" t="inlineStr">
        <is>
          <t>Deal Pipeline</t>
        </is>
      </c>
      <c r="B29" s="15" t="inlineStr">
        <is>
          <t>Evaluation</t>
        </is>
      </c>
      <c r="C29" s="16">
        <f>HYPERLINK('Link Config'!$B$2&amp;"plugins/vc/tasks/run-follow-up-evaluation.md","Run Opportunity Evaluation")</f>
        <v/>
      </c>
      <c r="D29" s="16">
        <f>HYPERLINK('Link Config'!$B$2&amp;"plugins/vc/alludium/documents/shared/evidence-citation-style-guide.md","Evidence And Citation Style Guide (vc.document.evidence_citation_style_guide)")</f>
        <v/>
      </c>
      <c r="E29" s="15" t="inlineStr">
        <is>
          <t>style_guide</t>
        </is>
      </c>
      <c r="F29" s="15" t="inlineStr"/>
    </row>
    <row r="30" ht="18" customHeight="1" s="12">
      <c r="A30" s="15" t="inlineStr">
        <is>
          <t>Deal Pipeline</t>
        </is>
      </c>
      <c r="B30" s="15" t="inlineStr">
        <is>
          <t>Evaluation</t>
        </is>
      </c>
      <c r="C30" s="16">
        <f>HYPERLINK('Link Config'!$B$2&amp;"plugins/vc/tasks/run-follow-up-evaluation.md","Run Opportunity Evaluation")</f>
        <v/>
      </c>
      <c r="D30" s="16">
        <f>HYPERLINK('Link Config'!$B$2&amp;"plugins/vc/alludium/documents/shared/template-use-guidance.md","Template Use Guidance (vc.document.template_use_guidance)")</f>
        <v/>
      </c>
      <c r="E30" s="15" t="inlineStr">
        <is>
          <t>operating_guidance</t>
        </is>
      </c>
      <c r="F30" s="15" t="inlineStr"/>
    </row>
    <row r="31" ht="18" customHeight="1" s="12">
      <c r="A31" s="15" t="inlineStr">
        <is>
          <t>Deal Pipeline</t>
        </is>
      </c>
      <c r="B31" s="15" t="inlineStr">
        <is>
          <t>Evaluation</t>
        </is>
      </c>
      <c r="C31" s="16">
        <f>HYPERLINK('Link Config'!$B$2&amp;"plugins/vc/tasks/run-commercial-evaluation.md","Run Commercial Evaluation")</f>
        <v/>
      </c>
      <c r="D31" s="16">
        <f>HYPERLINK('Link Config'!$B$2&amp;"plugins/vc/alludium/documents/deal-room/commercial-evaluation-template.md","Commercial Evaluation Template (vc.document.commercial_evaluation_template)")</f>
        <v/>
      </c>
      <c r="E31" s="15" t="inlineStr">
        <is>
          <t>output_template</t>
        </is>
      </c>
      <c r="F31" s="15" t="inlineStr">
        <is>
          <t>commercial_evaluation_artifact_id</t>
        </is>
      </c>
    </row>
    <row r="32" ht="18" customHeight="1" s="12">
      <c r="A32" s="15" t="inlineStr">
        <is>
          <t>Deal Pipeline</t>
        </is>
      </c>
      <c r="B32" s="15" t="inlineStr">
        <is>
          <t>Evaluation</t>
        </is>
      </c>
      <c r="C32" s="16">
        <f>HYPERLINK('Link Config'!$B$2&amp;"plugins/vc/tasks/run-commercial-evaluation.md","Run Commercial Evaluation")</f>
        <v/>
      </c>
      <c r="D32" s="16">
        <f>HYPERLINK('Link Config'!$B$2&amp;"plugins/vc/alludium/documents/shared/evaluation-workstream-guide.md","Evaluation Workstream Guide (vc.document.evaluation_workstream_guide)")</f>
        <v/>
      </c>
      <c r="E32" s="15" t="inlineStr">
        <is>
          <t>methodology</t>
        </is>
      </c>
      <c r="F32" s="15" t="inlineStr"/>
    </row>
    <row r="33" ht="18" customHeight="1" s="12">
      <c r="A33" s="15" t="inlineStr">
        <is>
          <t>Deal Pipeline</t>
        </is>
      </c>
      <c r="B33" s="15" t="inlineStr">
        <is>
          <t>Evaluation</t>
        </is>
      </c>
      <c r="C33" s="16">
        <f>HYPERLINK('Link Config'!$B$2&amp;"plugins/vc/tasks/run-commercial-evaluation.md","Run Commercial Evaluation")</f>
        <v/>
      </c>
      <c r="D33" s="16">
        <f>HYPERLINK('Link Config'!$B$2&amp;"plugins/vc/alludium/documents/deal-room/commercial-evaluation-guide.md","Commercial Evaluation Guide (vc.document.commercial_evaluation_guide)")</f>
        <v/>
      </c>
      <c r="E33" s="15" t="inlineStr">
        <is>
          <t>methodology</t>
        </is>
      </c>
      <c r="F33" s="15" t="inlineStr"/>
    </row>
    <row r="34" ht="18" customHeight="1" s="12">
      <c r="A34" s="15" t="inlineStr">
        <is>
          <t>Deal Pipeline</t>
        </is>
      </c>
      <c r="B34" s="15" t="inlineStr">
        <is>
          <t>Evaluation</t>
        </is>
      </c>
      <c r="C34" s="16">
        <f>HYPERLINK('Link Config'!$B$2&amp;"plugins/vc/tasks/run-commercial-evaluation.md","Run Commercial Evaluation")</f>
        <v/>
      </c>
      <c r="D34" s="16">
        <f>HYPERLINK('Link Config'!$B$2&amp;"plugins/vc/alludium/documents/shared/opportunity-evaluation-framework.md","Opportunity Evaluation Framework (vc.document.opportunity_evaluation_framework)")</f>
        <v/>
      </c>
      <c r="E34" s="15" t="inlineStr">
        <is>
          <t>methodology</t>
        </is>
      </c>
      <c r="F34" s="15" t="inlineStr"/>
    </row>
    <row r="35" ht="18" customHeight="1" s="12">
      <c r="A35" s="15" t="inlineStr">
        <is>
          <t>Deal Pipeline</t>
        </is>
      </c>
      <c r="B35" s="15" t="inlineStr">
        <is>
          <t>Evaluation</t>
        </is>
      </c>
      <c r="C35" s="16">
        <f>HYPERLINK('Link Config'!$B$2&amp;"plugins/vc/tasks/run-commercial-evaluation.md","Run Commercial Evaluation")</f>
        <v/>
      </c>
      <c r="D35" s="16">
        <f>HYPERLINK('Link Config'!$B$2&amp;"plugins/vc/alludium/documents/shared/evidence-citation-style-guide.md","Evidence And Citation Style Guide (vc.document.evidence_citation_style_guide)")</f>
        <v/>
      </c>
      <c r="E35" s="15" t="inlineStr">
        <is>
          <t>style_guide</t>
        </is>
      </c>
      <c r="F35" s="15" t="inlineStr"/>
    </row>
    <row r="36" ht="18" customHeight="1" s="12">
      <c r="A36" s="15" t="inlineStr">
        <is>
          <t>Deal Pipeline</t>
        </is>
      </c>
      <c r="B36" s="15" t="inlineStr">
        <is>
          <t>Evaluation</t>
        </is>
      </c>
      <c r="C36" s="16">
        <f>HYPERLINK('Link Config'!$B$2&amp;"plugins/vc/tasks/run-commercial-evaluation.md","Run Commercial Evaluation")</f>
        <v/>
      </c>
      <c r="D36" s="16">
        <f>HYPERLINK('Link Config'!$B$2&amp;"plugins/vc/alludium/documents/shared/template-use-guidance.md","Template Use Guidance (vc.document.template_use_guidance)")</f>
        <v/>
      </c>
      <c r="E36" s="15" t="inlineStr">
        <is>
          <t>operating_guidance</t>
        </is>
      </c>
      <c r="F36" s="15" t="inlineStr"/>
    </row>
    <row r="37" ht="18" customHeight="1" s="12">
      <c r="A37" s="15" t="inlineStr">
        <is>
          <t>Deal Pipeline</t>
        </is>
      </c>
      <c r="B37" s="15" t="inlineStr">
        <is>
          <t>Evaluation</t>
        </is>
      </c>
      <c r="C37" s="16">
        <f>HYPERLINK('Link Config'!$B$2&amp;"plugins/vc/tasks/run-technical-evaluation.md","Run Technical Evaluation")</f>
        <v/>
      </c>
      <c r="D37" s="16">
        <f>HYPERLINK('Link Config'!$B$2&amp;"plugins/vc/alludium/documents/deal-room/technical-evaluation-template.md","Technical Evaluation Template (vc.document.technical_evaluation_template)")</f>
        <v/>
      </c>
      <c r="E37" s="15" t="inlineStr">
        <is>
          <t>output_template</t>
        </is>
      </c>
      <c r="F37" s="15" t="inlineStr">
        <is>
          <t>technical_evaluation_artifact_id</t>
        </is>
      </c>
    </row>
    <row r="38" ht="18" customHeight="1" s="12">
      <c r="A38" s="15" t="inlineStr">
        <is>
          <t>Deal Pipeline</t>
        </is>
      </c>
      <c r="B38" s="15" t="inlineStr">
        <is>
          <t>Evaluation</t>
        </is>
      </c>
      <c r="C38" s="16">
        <f>HYPERLINK('Link Config'!$B$2&amp;"plugins/vc/tasks/run-technical-evaluation.md","Run Technical Evaluation")</f>
        <v/>
      </c>
      <c r="D38" s="16">
        <f>HYPERLINK('Link Config'!$B$2&amp;"plugins/vc/alludium/documents/shared/evaluation-workstream-guide.md","Evaluation Workstream Guide (vc.document.evaluation_workstream_guide)")</f>
        <v/>
      </c>
      <c r="E38" s="15" t="inlineStr">
        <is>
          <t>methodology</t>
        </is>
      </c>
      <c r="F38" s="15" t="inlineStr"/>
    </row>
    <row r="39" ht="18" customHeight="1" s="12">
      <c r="A39" s="15" t="inlineStr">
        <is>
          <t>Deal Pipeline</t>
        </is>
      </c>
      <c r="B39" s="15" t="inlineStr">
        <is>
          <t>Evaluation</t>
        </is>
      </c>
      <c r="C39" s="16">
        <f>HYPERLINK('Link Config'!$B$2&amp;"plugins/vc/tasks/run-technical-evaluation.md","Run Technical Evaluation")</f>
        <v/>
      </c>
      <c r="D39" s="16">
        <f>HYPERLINK('Link Config'!$B$2&amp;"plugins/vc/alludium/documents/deal-room/technical-evaluation-guide.md","Technical Evaluation Guide (vc.document.technical_evaluation_guide)")</f>
        <v/>
      </c>
      <c r="E39" s="15" t="inlineStr">
        <is>
          <t>methodology</t>
        </is>
      </c>
      <c r="F39" s="15" t="inlineStr"/>
    </row>
    <row r="40" ht="18" customHeight="1" s="12">
      <c r="A40" s="15" t="inlineStr">
        <is>
          <t>Deal Pipeline</t>
        </is>
      </c>
      <c r="B40" s="15" t="inlineStr">
        <is>
          <t>Evaluation</t>
        </is>
      </c>
      <c r="C40" s="16">
        <f>HYPERLINK('Link Config'!$B$2&amp;"plugins/vc/tasks/run-technical-evaluation.md","Run Technical Evaluation")</f>
        <v/>
      </c>
      <c r="D40" s="16">
        <f>HYPERLINK('Link Config'!$B$2&amp;"plugins/vc/alludium/documents/shared/opportunity-evaluation-framework.md","Opportunity Evaluation Framework (vc.document.opportunity_evaluation_framework)")</f>
        <v/>
      </c>
      <c r="E40" s="15" t="inlineStr">
        <is>
          <t>methodology</t>
        </is>
      </c>
      <c r="F40" s="15" t="inlineStr"/>
    </row>
    <row r="41" ht="18" customHeight="1" s="12">
      <c r="A41" s="15" t="inlineStr">
        <is>
          <t>Deal Pipeline</t>
        </is>
      </c>
      <c r="B41" s="15" t="inlineStr">
        <is>
          <t>Evaluation</t>
        </is>
      </c>
      <c r="C41" s="16">
        <f>HYPERLINK('Link Config'!$B$2&amp;"plugins/vc/tasks/run-technical-evaluation.md","Run Technical Evaluation")</f>
        <v/>
      </c>
      <c r="D41" s="16">
        <f>HYPERLINK('Link Config'!$B$2&amp;"plugins/vc/alludium/documents/shared/evidence-citation-style-guide.md","Evidence And Citation Style Guide (vc.document.evidence_citation_style_guide)")</f>
        <v/>
      </c>
      <c r="E41" s="15" t="inlineStr">
        <is>
          <t>style_guide</t>
        </is>
      </c>
      <c r="F41" s="15" t="inlineStr"/>
    </row>
    <row r="42" ht="18" customHeight="1" s="12">
      <c r="A42" s="15" t="inlineStr">
        <is>
          <t>Deal Pipeline</t>
        </is>
      </c>
      <c r="B42" s="15" t="inlineStr">
        <is>
          <t>Evaluation</t>
        </is>
      </c>
      <c r="C42" s="16">
        <f>HYPERLINK('Link Config'!$B$2&amp;"plugins/vc/tasks/run-technical-evaluation.md","Run Technical Evaluation")</f>
        <v/>
      </c>
      <c r="D42" s="16">
        <f>HYPERLINK('Link Config'!$B$2&amp;"plugins/vc/alludium/documents/shared/template-use-guidance.md","Template Use Guidance (vc.document.template_use_guidance)")</f>
        <v/>
      </c>
      <c r="E42" s="15" t="inlineStr">
        <is>
          <t>operating_guidance</t>
        </is>
      </c>
      <c r="F42" s="15" t="inlineStr"/>
    </row>
    <row r="43" ht="18" customHeight="1" s="12">
      <c r="A43" s="15" t="inlineStr">
        <is>
          <t>Deal Pipeline</t>
        </is>
      </c>
      <c r="B43" s="15" t="inlineStr">
        <is>
          <t>Evaluation</t>
        </is>
      </c>
      <c r="C43" s="16">
        <f>HYPERLINK('Link Config'!$B$2&amp;"plugins/vc/tasks/run-financial-evaluation.md","Run Financial Evaluation")</f>
        <v/>
      </c>
      <c r="D43" s="16">
        <f>HYPERLINK('Link Config'!$B$2&amp;"plugins/vc/alludium/documents/deal-room/financial-evaluation-template.md","Financial Evaluation Template (vc.document.financial_evaluation_template)")</f>
        <v/>
      </c>
      <c r="E43" s="15" t="inlineStr">
        <is>
          <t>output_template</t>
        </is>
      </c>
      <c r="F43" s="15" t="inlineStr">
        <is>
          <t>financial_evaluation_artifact_id</t>
        </is>
      </c>
    </row>
    <row r="44" ht="18" customHeight="1" s="12">
      <c r="A44" s="15" t="inlineStr">
        <is>
          <t>Deal Pipeline</t>
        </is>
      </c>
      <c r="B44" s="15" t="inlineStr">
        <is>
          <t>Evaluation</t>
        </is>
      </c>
      <c r="C44" s="16">
        <f>HYPERLINK('Link Config'!$B$2&amp;"plugins/vc/tasks/run-financial-evaluation.md","Run Financial Evaluation")</f>
        <v/>
      </c>
      <c r="D44" s="16">
        <f>HYPERLINK('Link Config'!$B$2&amp;"plugins/vc/alludium/documents/shared/evaluation-workstream-guide.md","Evaluation Workstream Guide (vc.document.evaluation_workstream_guide)")</f>
        <v/>
      </c>
      <c r="E44" s="15" t="inlineStr">
        <is>
          <t>methodology</t>
        </is>
      </c>
      <c r="F44" s="15" t="inlineStr"/>
    </row>
    <row r="45" ht="18" customHeight="1" s="12">
      <c r="A45" s="15" t="inlineStr">
        <is>
          <t>Deal Pipeline</t>
        </is>
      </c>
      <c r="B45" s="15" t="inlineStr">
        <is>
          <t>Evaluation</t>
        </is>
      </c>
      <c r="C45" s="16">
        <f>HYPERLINK('Link Config'!$B$2&amp;"plugins/vc/tasks/run-financial-evaluation.md","Run Financial Evaluation")</f>
        <v/>
      </c>
      <c r="D45" s="16">
        <f>HYPERLINK('Link Config'!$B$2&amp;"plugins/vc/alludium/documents/deal-room/financial-evaluation-guide.md","Financial Evaluation Guide (vc.document.financial_evaluation_guide)")</f>
        <v/>
      </c>
      <c r="E45" s="15" t="inlineStr">
        <is>
          <t>methodology</t>
        </is>
      </c>
      <c r="F45" s="15" t="inlineStr"/>
    </row>
    <row r="46" ht="18" customHeight="1" s="12">
      <c r="A46" s="15" t="inlineStr">
        <is>
          <t>Deal Pipeline</t>
        </is>
      </c>
      <c r="B46" s="15" t="inlineStr">
        <is>
          <t>Evaluation</t>
        </is>
      </c>
      <c r="C46" s="16">
        <f>HYPERLINK('Link Config'!$B$2&amp;"plugins/vc/tasks/run-financial-evaluation.md","Run Financial Evaluation")</f>
        <v/>
      </c>
      <c r="D46" s="16">
        <f>HYPERLINK('Link Config'!$B$2&amp;"plugins/vc/alludium/documents/shared/opportunity-evaluation-framework.md","Opportunity Evaluation Framework (vc.document.opportunity_evaluation_framework)")</f>
        <v/>
      </c>
      <c r="E46" s="15" t="inlineStr">
        <is>
          <t>methodology</t>
        </is>
      </c>
      <c r="F46" s="15" t="inlineStr"/>
    </row>
    <row r="47" ht="18" customHeight="1" s="12">
      <c r="A47" s="15" t="inlineStr">
        <is>
          <t>Deal Pipeline</t>
        </is>
      </c>
      <c r="B47" s="15" t="inlineStr">
        <is>
          <t>Evaluation</t>
        </is>
      </c>
      <c r="C47" s="16">
        <f>HYPERLINK('Link Config'!$B$2&amp;"plugins/vc/tasks/run-financial-evaluation.md","Run Financial Evaluation")</f>
        <v/>
      </c>
      <c r="D47" s="16">
        <f>HYPERLINK('Link Config'!$B$2&amp;"plugins/vc/alludium/documents/shared/evidence-citation-style-guide.md","Evidence And Citation Style Guide (vc.document.evidence_citation_style_guide)")</f>
        <v/>
      </c>
      <c r="E47" s="15" t="inlineStr">
        <is>
          <t>style_guide</t>
        </is>
      </c>
      <c r="F47" s="15" t="inlineStr"/>
    </row>
    <row r="48" ht="18" customHeight="1" s="12">
      <c r="A48" s="15" t="inlineStr">
        <is>
          <t>Deal Pipeline</t>
        </is>
      </c>
      <c r="B48" s="15" t="inlineStr">
        <is>
          <t>Evaluation</t>
        </is>
      </c>
      <c r="C48" s="16">
        <f>HYPERLINK('Link Config'!$B$2&amp;"plugins/vc/tasks/run-financial-evaluation.md","Run Financial Evaluation")</f>
        <v/>
      </c>
      <c r="D48" s="16">
        <f>HYPERLINK('Link Config'!$B$2&amp;"plugins/vc/alludium/documents/shared/template-use-guidance.md","Template Use Guidance (vc.document.template_use_guidance)")</f>
        <v/>
      </c>
      <c r="E48" s="15" t="inlineStr">
        <is>
          <t>operating_guidance</t>
        </is>
      </c>
      <c r="F48" s="15" t="inlineStr"/>
    </row>
    <row r="49" ht="18" customHeight="1" s="12">
      <c r="A49" s="15" t="inlineStr">
        <is>
          <t>Deal Pipeline</t>
        </is>
      </c>
      <c r="B49" s="15" t="inlineStr">
        <is>
          <t>Evaluation</t>
        </is>
      </c>
      <c r="C49" s="16">
        <f>HYPERLINK('Link Config'!$B$2&amp;"plugins/vc/tasks/run-team-evaluation.md","Run Team Evaluation")</f>
        <v/>
      </c>
      <c r="D49" s="16">
        <f>HYPERLINK('Link Config'!$B$2&amp;"plugins/vc/alludium/documents/deal-room/team-evaluation-template.md","Team Evaluation Template (vc.document.team_evaluation_template)")</f>
        <v/>
      </c>
      <c r="E49" s="15" t="inlineStr">
        <is>
          <t>output_template</t>
        </is>
      </c>
      <c r="F49" s="15" t="inlineStr">
        <is>
          <t>team_evaluation_artifact_id</t>
        </is>
      </c>
    </row>
    <row r="50" ht="18" customHeight="1" s="12">
      <c r="A50" s="15" t="inlineStr">
        <is>
          <t>Deal Pipeline</t>
        </is>
      </c>
      <c r="B50" s="15" t="inlineStr">
        <is>
          <t>Evaluation</t>
        </is>
      </c>
      <c r="C50" s="16">
        <f>HYPERLINK('Link Config'!$B$2&amp;"plugins/vc/tasks/run-team-evaluation.md","Run Team Evaluation")</f>
        <v/>
      </c>
      <c r="D50" s="16">
        <f>HYPERLINK('Link Config'!$B$2&amp;"plugins/vc/alludium/documents/shared/evaluation-workstream-guide.md","Evaluation Workstream Guide (vc.document.evaluation_workstream_guide)")</f>
        <v/>
      </c>
      <c r="E50" s="15" t="inlineStr">
        <is>
          <t>methodology</t>
        </is>
      </c>
      <c r="F50" s="15" t="inlineStr"/>
    </row>
    <row r="51" ht="18" customHeight="1" s="12">
      <c r="A51" s="15" t="inlineStr">
        <is>
          <t>Deal Pipeline</t>
        </is>
      </c>
      <c r="B51" s="15" t="inlineStr">
        <is>
          <t>Evaluation</t>
        </is>
      </c>
      <c r="C51" s="16">
        <f>HYPERLINK('Link Config'!$B$2&amp;"plugins/vc/tasks/run-team-evaluation.md","Run Team Evaluation")</f>
        <v/>
      </c>
      <c r="D51" s="16">
        <f>HYPERLINK('Link Config'!$B$2&amp;"plugins/vc/alludium/documents/shared/opportunity-evaluation-framework.md","Opportunity Evaluation Framework (vc.document.opportunity_evaluation_framework)")</f>
        <v/>
      </c>
      <c r="E51" s="15" t="inlineStr">
        <is>
          <t>methodology</t>
        </is>
      </c>
      <c r="F51" s="15" t="inlineStr"/>
    </row>
    <row r="52" ht="18" customHeight="1" s="12">
      <c r="A52" s="15" t="inlineStr">
        <is>
          <t>Deal Pipeline</t>
        </is>
      </c>
      <c r="B52" s="15" t="inlineStr">
        <is>
          <t>Evaluation</t>
        </is>
      </c>
      <c r="C52" s="16">
        <f>HYPERLINK('Link Config'!$B$2&amp;"plugins/vc/tasks/run-team-evaluation.md","Run Team Evaluation")</f>
        <v/>
      </c>
      <c r="D52" s="16">
        <f>HYPERLINK('Link Config'!$B$2&amp;"plugins/vc/alludium/documents/shared/evidence-citation-style-guide.md","Evidence And Citation Style Guide (vc.document.evidence_citation_style_guide)")</f>
        <v/>
      </c>
      <c r="E52" s="15" t="inlineStr">
        <is>
          <t>style_guide</t>
        </is>
      </c>
      <c r="F52" s="15" t="inlineStr"/>
    </row>
    <row r="53" ht="18" customHeight="1" s="12">
      <c r="A53" s="15" t="inlineStr">
        <is>
          <t>Deal Pipeline</t>
        </is>
      </c>
      <c r="B53" s="15" t="inlineStr">
        <is>
          <t>Evaluation</t>
        </is>
      </c>
      <c r="C53" s="16">
        <f>HYPERLINK('Link Config'!$B$2&amp;"plugins/vc/tasks/run-team-evaluation.md","Run Team Evaluation")</f>
        <v/>
      </c>
      <c r="D53" s="16">
        <f>HYPERLINK('Link Config'!$B$2&amp;"plugins/vc/alludium/documents/shared/template-use-guidance.md","Template Use Guidance (vc.document.template_use_guidance)")</f>
        <v/>
      </c>
      <c r="E53" s="15" t="inlineStr">
        <is>
          <t>operating_guidance</t>
        </is>
      </c>
      <c r="F53" s="15" t="inlineStr"/>
    </row>
    <row r="54" ht="18" customHeight="1" s="12">
      <c r="A54" s="15" t="inlineStr">
        <is>
          <t>Deal Pipeline</t>
        </is>
      </c>
      <c r="B54" s="15" t="inlineStr">
        <is>
          <t>Evaluation</t>
        </is>
      </c>
      <c r="C54" s="16">
        <f>HYPERLINK('Link Config'!$B$2&amp;"plugins/vc/tasks/generate-diligence-questions.md","Generate Diligence Questions")</f>
        <v/>
      </c>
      <c r="D54" s="16">
        <f>HYPERLINK('Link Config'!$B$2&amp;"plugins/vc/alludium/documents/shared/investment-diligence-question-framework.md","Investment Diligence Question Framework (vc.document.investment_diligence_question_framework)")</f>
        <v/>
      </c>
      <c r="E54" s="15" t="inlineStr">
        <is>
          <t>methodology</t>
        </is>
      </c>
      <c r="F54" s="15" t="inlineStr">
        <is>
          <t>diligence_question_bank_artifact_id</t>
        </is>
      </c>
    </row>
    <row r="55" ht="18" customHeight="1" s="12">
      <c r="A55" s="15" t="inlineStr">
        <is>
          <t>Deal Pipeline</t>
        </is>
      </c>
      <c r="B55" s="15" t="inlineStr">
        <is>
          <t>Evaluation</t>
        </is>
      </c>
      <c r="C55" s="16">
        <f>HYPERLINK('Link Config'!$B$2&amp;"plugins/vc/tasks/generate-diligence-questions.md","Generate Diligence Questions")</f>
        <v/>
      </c>
      <c r="D55" s="16">
        <f>HYPERLINK('Link Config'!$B$2&amp;"plugins/vc/alludium/documents/shared/opportunity-evaluation-framework.md","Opportunity Evaluation Framework (vc.document.opportunity_evaluation_framework)")</f>
        <v/>
      </c>
      <c r="E55" s="15" t="inlineStr">
        <is>
          <t>methodology</t>
        </is>
      </c>
      <c r="F55" s="15" t="inlineStr"/>
    </row>
    <row r="56" ht="18" customHeight="1" s="12">
      <c r="A56" s="15" t="inlineStr">
        <is>
          <t>Deal Pipeline</t>
        </is>
      </c>
      <c r="B56" s="15" t="inlineStr">
        <is>
          <t>Evaluation</t>
        </is>
      </c>
      <c r="C56" s="16">
        <f>HYPERLINK('Link Config'!$B$2&amp;"plugins/vc/tasks/generate-diligence-questions.md","Generate Diligence Questions")</f>
        <v/>
      </c>
      <c r="D56" s="16">
        <f>HYPERLINK('Link Config'!$B$2&amp;"plugins/vc/alludium/documents/shared/evaluation-workstream-guide.md","Evaluation Workstream Guide (vc.document.evaluation_workstream_guide)")</f>
        <v/>
      </c>
      <c r="E56" s="15" t="inlineStr">
        <is>
          <t>methodology</t>
        </is>
      </c>
      <c r="F56" s="15" t="inlineStr"/>
    </row>
    <row r="57" ht="18" customHeight="1" s="12">
      <c r="A57" s="15" t="inlineStr">
        <is>
          <t>Deal Pipeline</t>
        </is>
      </c>
      <c r="B57" s="15" t="inlineStr">
        <is>
          <t>Evaluation</t>
        </is>
      </c>
      <c r="C57" s="16">
        <f>HYPERLINK('Link Config'!$B$2&amp;"plugins/vc/tasks/generate-diligence-questions.md","Generate Diligence Questions")</f>
        <v/>
      </c>
      <c r="D57" s="16">
        <f>HYPERLINK('Link Config'!$B$2&amp;"plugins/vc/alludium/documents/deal-room/commercial-evaluation-guide.md","Commercial Evaluation Guide (vc.document.commercial_evaluation_guide)")</f>
        <v/>
      </c>
      <c r="E57" s="15" t="inlineStr">
        <is>
          <t>methodology</t>
        </is>
      </c>
      <c r="F57" s="15" t="inlineStr"/>
    </row>
    <row r="58" ht="18" customHeight="1" s="12">
      <c r="A58" s="15" t="inlineStr">
        <is>
          <t>Deal Pipeline</t>
        </is>
      </c>
      <c r="B58" s="15" t="inlineStr">
        <is>
          <t>Evaluation</t>
        </is>
      </c>
      <c r="C58" s="16">
        <f>HYPERLINK('Link Config'!$B$2&amp;"plugins/vc/tasks/generate-diligence-questions.md","Generate Diligence Questions")</f>
        <v/>
      </c>
      <c r="D58" s="16">
        <f>HYPERLINK('Link Config'!$B$2&amp;"plugins/vc/alludium/documents/deal-room/technical-evaluation-guide.md","Technical Evaluation Guide (vc.document.technical_evaluation_guide)")</f>
        <v/>
      </c>
      <c r="E58" s="15" t="inlineStr">
        <is>
          <t>methodology</t>
        </is>
      </c>
      <c r="F58" s="15" t="inlineStr"/>
    </row>
    <row r="59" ht="18" customHeight="1" s="12">
      <c r="A59" s="15" t="inlineStr">
        <is>
          <t>Deal Pipeline</t>
        </is>
      </c>
      <c r="B59" s="15" t="inlineStr">
        <is>
          <t>Evaluation</t>
        </is>
      </c>
      <c r="C59" s="16">
        <f>HYPERLINK('Link Config'!$B$2&amp;"plugins/vc/tasks/generate-diligence-questions.md","Generate Diligence Questions")</f>
        <v/>
      </c>
      <c r="D59" s="16">
        <f>HYPERLINK('Link Config'!$B$2&amp;"plugins/vc/alludium/documents/deal-room/financial-evaluation-guide.md","Financial Evaluation Guide (vc.document.financial_evaluation_guide)")</f>
        <v/>
      </c>
      <c r="E59" s="15" t="inlineStr">
        <is>
          <t>methodology</t>
        </is>
      </c>
      <c r="F59" s="15" t="inlineStr"/>
    </row>
    <row r="60" ht="18" customHeight="1" s="12">
      <c r="A60" s="15" t="inlineStr">
        <is>
          <t>Deal Pipeline</t>
        </is>
      </c>
      <c r="B60" s="15" t="inlineStr">
        <is>
          <t>Evaluation</t>
        </is>
      </c>
      <c r="C60" s="16">
        <f>HYPERLINK('Link Config'!$B$2&amp;"plugins/vc/tasks/generate-diligence-questions.md","Generate Diligence Questions")</f>
        <v/>
      </c>
      <c r="D60" s="16">
        <f>HYPERLINK('Link Config'!$B$2&amp;"plugins/vc/alludium/documents/deal-room/formal-diligence-workstream-guide.md","Formal Diligence Workstream Guide (vc.document.formal_diligence_workstream_guide)")</f>
        <v/>
      </c>
      <c r="E60" s="15" t="inlineStr">
        <is>
          <t>methodology</t>
        </is>
      </c>
      <c r="F60" s="15" t="inlineStr"/>
    </row>
    <row r="61" ht="18" customHeight="1" s="12">
      <c r="A61" s="15" t="inlineStr">
        <is>
          <t>Deal Pipeline</t>
        </is>
      </c>
      <c r="B61" s="15" t="inlineStr">
        <is>
          <t>Evaluation</t>
        </is>
      </c>
      <c r="C61" s="16">
        <f>HYPERLINK('Link Config'!$B$2&amp;"plugins/vc/tasks/generate-diligence-questions.md","Generate Diligence Questions")</f>
        <v/>
      </c>
      <c r="D61" s="16">
        <f>HYPERLINK('Link Config'!$B$2&amp;"plugins/vc/alludium/documents/deal-room/formal-diligence-checklist.md","Formal Diligence Checklist (vc.document.formal_diligence_checklist)")</f>
        <v/>
      </c>
      <c r="E61" s="15" t="inlineStr">
        <is>
          <t>checklist</t>
        </is>
      </c>
      <c r="F61" s="15" t="inlineStr"/>
    </row>
    <row r="62" ht="18" customHeight="1" s="12">
      <c r="A62" s="15" t="inlineStr">
        <is>
          <t>Deal Pipeline</t>
        </is>
      </c>
      <c r="B62" s="15" t="inlineStr">
        <is>
          <t>Evaluation</t>
        </is>
      </c>
      <c r="C62" s="16">
        <f>HYPERLINK('Link Config'!$B$2&amp;"plugins/vc/tasks/generate-diligence-questions.md","Generate Diligence Questions")</f>
        <v/>
      </c>
      <c r="D62" s="16">
        <f>HYPERLINK('Link Config'!$B$2&amp;"plugins/vc/alludium/documents/deal-room/legal-diligence-guide.md","Legal Diligence Guide (vc.document.legal_diligence_guide)")</f>
        <v/>
      </c>
      <c r="E62" s="15" t="inlineStr">
        <is>
          <t>methodology</t>
        </is>
      </c>
      <c r="F62" s="15" t="inlineStr"/>
    </row>
    <row r="63" ht="18" customHeight="1" s="12">
      <c r="A63" s="15" t="inlineStr">
        <is>
          <t>Deal Pipeline</t>
        </is>
      </c>
      <c r="B63" s="15" t="inlineStr">
        <is>
          <t>Evaluation</t>
        </is>
      </c>
      <c r="C63" s="16">
        <f>HYPERLINK('Link Config'!$B$2&amp;"plugins/vc/tasks/generate-diligence-questions.md","Generate Diligence Questions")</f>
        <v/>
      </c>
      <c r="D63" s="16">
        <f>HYPERLINK('Link Config'!$B$2&amp;"plugins/vc/alludium/documents/shared/evidence-citation-style-guide.md","Evidence And Citation Style Guide (vc.document.evidence_citation_style_guide)")</f>
        <v/>
      </c>
      <c r="E63" s="15" t="inlineStr">
        <is>
          <t>style_guide</t>
        </is>
      </c>
      <c r="F63" s="15" t="inlineStr"/>
    </row>
    <row r="64" ht="18" customHeight="1" s="12">
      <c r="A64" s="15" t="inlineStr">
        <is>
          <t>Deal Pipeline</t>
        </is>
      </c>
      <c r="B64" s="15" t="inlineStr">
        <is>
          <t>Evaluation</t>
        </is>
      </c>
      <c r="C64" s="16">
        <f>HYPERLINK('Link Config'!$B$2&amp;"plugins/vc/tasks/generate-diligence-questions.md","Generate Diligence Questions")</f>
        <v/>
      </c>
      <c r="D64" s="16">
        <f>HYPERLINK('Link Config'!$B$2&amp;"plugins/vc/alludium/documents/shared/template-use-guidance.md","Template Use Guidance (vc.document.template_use_guidance)")</f>
        <v/>
      </c>
      <c r="E64" s="15" t="inlineStr">
        <is>
          <t>operating_guidance</t>
        </is>
      </c>
      <c r="F64" s="15" t="inlineStr"/>
    </row>
    <row r="65" ht="18" customHeight="1" s="12">
      <c r="A65" s="15" t="inlineStr">
        <is>
          <t>Deal Pipeline</t>
        </is>
      </c>
      <c r="B65" s="15" t="inlineStr">
        <is>
          <t>Decision Review</t>
        </is>
      </c>
      <c r="C65" s="16">
        <f>HYPERLINK('Link Config'!$B$2&amp;"plugins/vc/tasks/prepare-team-review-pack.md","Prepare Team Review Pack")</f>
        <v/>
      </c>
      <c r="D65" s="16">
        <f>HYPERLINK('Link Config'!$B$2&amp;"plugins/vc/alludium/documents/deal-room/review-pack-checklist.md","Review Pack Checklist (vc.document.review_pack_checklist)")</f>
        <v/>
      </c>
      <c r="E65" s="15" t="inlineStr">
        <is>
          <t>output_template</t>
        </is>
      </c>
      <c r="F65" s="15" t="inlineStr">
        <is>
          <t>team_review_pack_artifact_id</t>
        </is>
      </c>
    </row>
    <row r="66" ht="18" customHeight="1" s="12">
      <c r="A66" s="15" t="inlineStr">
        <is>
          <t>Deal Pipeline</t>
        </is>
      </c>
      <c r="B66" s="15" t="inlineStr">
        <is>
          <t>Decision Review</t>
        </is>
      </c>
      <c r="C66" s="16">
        <f>HYPERLINK('Link Config'!$B$2&amp;"plugins/vc/tasks/prepare-team-review-pack.md","Prepare Team Review Pack")</f>
        <v/>
      </c>
      <c r="D66" s="16">
        <f>HYPERLINK('Link Config'!$B$2&amp;"plugins/vc/alludium/documents/shared/opportunity-evaluation-framework.md","Opportunity Evaluation Framework (vc.document.opportunity_evaluation_framework)")</f>
        <v/>
      </c>
      <c r="E66" s="15" t="inlineStr">
        <is>
          <t>methodology</t>
        </is>
      </c>
      <c r="F66" s="15" t="inlineStr"/>
    </row>
    <row r="67" ht="18" customHeight="1" s="12">
      <c r="A67" s="15" t="inlineStr">
        <is>
          <t>Deal Pipeline</t>
        </is>
      </c>
      <c r="B67" s="15" t="inlineStr">
        <is>
          <t>Decision Review</t>
        </is>
      </c>
      <c r="C67" s="16">
        <f>HYPERLINK('Link Config'!$B$2&amp;"plugins/vc/tasks/prepare-team-review-pack.md","Prepare Team Review Pack")</f>
        <v/>
      </c>
      <c r="D67" s="16">
        <f>HYPERLINK('Link Config'!$B$2&amp;"plugins/vc/alludium/documents/shared/evaluation-workstream-guide.md","Evaluation Workstream Guide (vc.document.evaluation_workstream_guide)")</f>
        <v/>
      </c>
      <c r="E67" s="15" t="inlineStr">
        <is>
          <t>methodology</t>
        </is>
      </c>
      <c r="F67" s="15" t="inlineStr"/>
    </row>
    <row r="68" ht="18" customHeight="1" s="12">
      <c r="A68" s="15" t="inlineStr">
        <is>
          <t>Deal Pipeline</t>
        </is>
      </c>
      <c r="B68" s="15" t="inlineStr">
        <is>
          <t>Decision Review</t>
        </is>
      </c>
      <c r="C68" s="16">
        <f>HYPERLINK('Link Config'!$B$2&amp;"plugins/vc/tasks/prepare-team-review-pack.md","Prepare Team Review Pack")</f>
        <v/>
      </c>
      <c r="D68" s="16">
        <f>HYPERLINK('Link Config'!$B$2&amp;"plugins/vc/alludium/documents/deal-room/formal-diligence-workstream-guide.md","Formal Diligence Workstream Guide (vc.document.formal_diligence_workstream_guide)")</f>
        <v/>
      </c>
      <c r="E68" s="15" t="inlineStr">
        <is>
          <t>methodology</t>
        </is>
      </c>
      <c r="F68" s="15" t="inlineStr"/>
    </row>
    <row r="69" ht="18" customHeight="1" s="12">
      <c r="A69" s="15" t="inlineStr">
        <is>
          <t>Deal Pipeline</t>
        </is>
      </c>
      <c r="B69" s="15" t="inlineStr">
        <is>
          <t>Decision Review</t>
        </is>
      </c>
      <c r="C69" s="16">
        <f>HYPERLINK('Link Config'!$B$2&amp;"plugins/vc/tasks/prepare-team-review-pack.md","Prepare Team Review Pack")</f>
        <v/>
      </c>
      <c r="D69" s="16">
        <f>HYPERLINK('Link Config'!$B$2&amp;"plugins/vc/alludium/documents/deal-room/formal-diligence-checklist.md","Formal Diligence Checklist (vc.document.formal_diligence_checklist)")</f>
        <v/>
      </c>
      <c r="E69" s="15" t="inlineStr">
        <is>
          <t>checklist</t>
        </is>
      </c>
      <c r="F69" s="15" t="inlineStr"/>
    </row>
    <row r="70" ht="18" customHeight="1" s="12">
      <c r="A70" s="15" t="inlineStr">
        <is>
          <t>Deal Pipeline</t>
        </is>
      </c>
      <c r="B70" s="15" t="inlineStr">
        <is>
          <t>Decision Review</t>
        </is>
      </c>
      <c r="C70" s="16">
        <f>HYPERLINK('Link Config'!$B$2&amp;"plugins/vc/tasks/prepare-team-review-pack.md","Prepare Team Review Pack")</f>
        <v/>
      </c>
      <c r="D70" s="16">
        <f>HYPERLINK('Link Config'!$B$2&amp;"plugins/vc/alludium/documents/shared/evidence-citation-style-guide.md","Evidence And Citation Style Guide (vc.document.evidence_citation_style_guide)")</f>
        <v/>
      </c>
      <c r="E70" s="15" t="inlineStr">
        <is>
          <t>style_guide</t>
        </is>
      </c>
      <c r="F70" s="15" t="inlineStr"/>
    </row>
    <row r="71" ht="18" customHeight="1" s="12">
      <c r="A71" s="15" t="inlineStr">
        <is>
          <t>Deal Pipeline</t>
        </is>
      </c>
      <c r="B71" s="15" t="inlineStr">
        <is>
          <t>Decision Review</t>
        </is>
      </c>
      <c r="C71" s="16">
        <f>HYPERLINK('Link Config'!$B$2&amp;"plugins/vc/tasks/prepare-team-review-pack.md","Prepare Team Review Pack")</f>
        <v/>
      </c>
      <c r="D71" s="16">
        <f>HYPERLINK('Link Config'!$B$2&amp;"plugins/vc/alludium/documents/shared/template-use-guidance.md","Template Use Guidance (vc.document.template_use_guidance)")</f>
        <v/>
      </c>
      <c r="E71" s="15" t="inlineStr">
        <is>
          <t>operating_guidance</t>
        </is>
      </c>
      <c r="F71" s="15" t="inlineStr"/>
    </row>
    <row r="72" ht="18" customHeight="1" s="12">
      <c r="A72" s="15" t="inlineStr">
        <is>
          <t>Deal Pipeline</t>
        </is>
      </c>
      <c r="B72" s="15" t="inlineStr">
        <is>
          <t>Decision Review</t>
        </is>
      </c>
      <c r="C72" s="16">
        <f>HYPERLINK('Link Config'!$B$2&amp;"plugins/vc/tasks/prepare-partner-review-pack.md","Prepare Partner Review Pack")</f>
        <v/>
      </c>
      <c r="D72" s="16">
        <f>HYPERLINK('Link Config'!$B$2&amp;"plugins/vc/alludium/documents/deal-room/review-pack-checklist.md","Review Pack Checklist (vc.document.review_pack_checklist)")</f>
        <v/>
      </c>
      <c r="E72" s="15" t="inlineStr">
        <is>
          <t>output_template</t>
        </is>
      </c>
      <c r="F72" s="15" t="inlineStr">
        <is>
          <t>partner_review_pack_artifact_id</t>
        </is>
      </c>
    </row>
    <row r="73" ht="18" customHeight="1" s="12">
      <c r="A73" s="15" t="inlineStr">
        <is>
          <t>Deal Pipeline</t>
        </is>
      </c>
      <c r="B73" s="15" t="inlineStr">
        <is>
          <t>Decision Review</t>
        </is>
      </c>
      <c r="C73" s="16">
        <f>HYPERLINK('Link Config'!$B$2&amp;"plugins/vc/tasks/prepare-partner-review-pack.md","Prepare Partner Review Pack")</f>
        <v/>
      </c>
      <c r="D73" s="16">
        <f>HYPERLINK('Link Config'!$B$2&amp;"plugins/vc/alludium/documents/shared/opportunity-evaluation-framework.md","Opportunity Evaluation Framework (vc.document.opportunity_evaluation_framework)")</f>
        <v/>
      </c>
      <c r="E73" s="15" t="inlineStr">
        <is>
          <t>methodology</t>
        </is>
      </c>
      <c r="F73" s="15" t="inlineStr"/>
    </row>
    <row r="74" ht="18" customHeight="1" s="12">
      <c r="A74" s="15" t="inlineStr">
        <is>
          <t>Deal Pipeline</t>
        </is>
      </c>
      <c r="B74" s="15" t="inlineStr">
        <is>
          <t>Decision Review</t>
        </is>
      </c>
      <c r="C74" s="16">
        <f>HYPERLINK('Link Config'!$B$2&amp;"plugins/vc/tasks/prepare-partner-review-pack.md","Prepare Partner Review Pack")</f>
        <v/>
      </c>
      <c r="D74" s="16">
        <f>HYPERLINK('Link Config'!$B$2&amp;"plugins/vc/alludium/documents/shared/evaluation-workstream-guide.md","Evaluation Workstream Guide (vc.document.evaluation_workstream_guide)")</f>
        <v/>
      </c>
      <c r="E74" s="15" t="inlineStr">
        <is>
          <t>methodology</t>
        </is>
      </c>
      <c r="F74" s="15" t="inlineStr"/>
    </row>
    <row r="75" ht="18" customHeight="1" s="12">
      <c r="A75" s="15" t="inlineStr">
        <is>
          <t>Deal Pipeline</t>
        </is>
      </c>
      <c r="B75" s="15" t="inlineStr">
        <is>
          <t>Decision Review</t>
        </is>
      </c>
      <c r="C75" s="16">
        <f>HYPERLINK('Link Config'!$B$2&amp;"plugins/vc/tasks/prepare-partner-review-pack.md","Prepare Partner Review Pack")</f>
        <v/>
      </c>
      <c r="D75" s="16">
        <f>HYPERLINK('Link Config'!$B$2&amp;"plugins/vc/alludium/documents/deal-room/formal-diligence-workstream-guide.md","Formal Diligence Workstream Guide (vc.document.formal_diligence_workstream_guide)")</f>
        <v/>
      </c>
      <c r="E75" s="15" t="inlineStr">
        <is>
          <t>methodology</t>
        </is>
      </c>
      <c r="F75" s="15" t="inlineStr"/>
    </row>
    <row r="76" ht="18" customHeight="1" s="12">
      <c r="A76" s="15" t="inlineStr">
        <is>
          <t>Deal Pipeline</t>
        </is>
      </c>
      <c r="B76" s="15" t="inlineStr">
        <is>
          <t>Decision Review</t>
        </is>
      </c>
      <c r="C76" s="16">
        <f>HYPERLINK('Link Config'!$B$2&amp;"plugins/vc/tasks/prepare-partner-review-pack.md","Prepare Partner Review Pack")</f>
        <v/>
      </c>
      <c r="D76" s="16">
        <f>HYPERLINK('Link Config'!$B$2&amp;"plugins/vc/alludium/documents/deal-room/formal-diligence-checklist.md","Formal Diligence Checklist (vc.document.formal_diligence_checklist)")</f>
        <v/>
      </c>
      <c r="E76" s="15" t="inlineStr">
        <is>
          <t>checklist</t>
        </is>
      </c>
      <c r="F76" s="15" t="inlineStr"/>
    </row>
    <row r="77" ht="18" customHeight="1" s="12">
      <c r="A77" s="15" t="inlineStr">
        <is>
          <t>Deal Pipeline</t>
        </is>
      </c>
      <c r="B77" s="15" t="inlineStr">
        <is>
          <t>Decision Review</t>
        </is>
      </c>
      <c r="C77" s="16">
        <f>HYPERLINK('Link Config'!$B$2&amp;"plugins/vc/tasks/prepare-partner-review-pack.md","Prepare Partner Review Pack")</f>
        <v/>
      </c>
      <c r="D77" s="16">
        <f>HYPERLINK('Link Config'!$B$2&amp;"plugins/vc/alludium/documents/shared/evidence-citation-style-guide.md","Evidence And Citation Style Guide (vc.document.evidence_citation_style_guide)")</f>
        <v/>
      </c>
      <c r="E77" s="15" t="inlineStr">
        <is>
          <t>style_guide</t>
        </is>
      </c>
      <c r="F77" s="15" t="inlineStr"/>
    </row>
    <row r="78" ht="18" customHeight="1" s="12">
      <c r="A78" s="15" t="inlineStr">
        <is>
          <t>Deal Pipeline</t>
        </is>
      </c>
      <c r="B78" s="15" t="inlineStr">
        <is>
          <t>Decision Review</t>
        </is>
      </c>
      <c r="C78" s="16">
        <f>HYPERLINK('Link Config'!$B$2&amp;"plugins/vc/tasks/prepare-partner-review-pack.md","Prepare Partner Review Pack")</f>
        <v/>
      </c>
      <c r="D78" s="16">
        <f>HYPERLINK('Link Config'!$B$2&amp;"plugins/vc/alludium/documents/shared/template-use-guidance.md","Template Use Guidance (vc.document.template_use_guidance)")</f>
        <v/>
      </c>
      <c r="E78" s="15" t="inlineStr">
        <is>
          <t>operating_guidance</t>
        </is>
      </c>
      <c r="F78" s="15" t="inlineStr"/>
    </row>
    <row r="79" ht="18" customHeight="1" s="12">
      <c r="A79" s="15" t="inlineStr">
        <is>
          <t>Deal Pipeline</t>
        </is>
      </c>
      <c r="B79" s="15" t="inlineStr">
        <is>
          <t>Decision Review</t>
        </is>
      </c>
      <c r="C79" s="16">
        <f>HYPERLINK('Link Config'!$B$2&amp;"plugins/vc/tasks/create-ic-memo.md","Create IC Memo")</f>
        <v/>
      </c>
      <c r="D79" s="16">
        <f>HYPERLINK('Link Config'!$B$2&amp;"plugins/vc/alludium/documents/deal-room/investment-memo-template.md","Investment Memo Template (vc.document.investment_memo_template)")</f>
        <v/>
      </c>
      <c r="E79" s="15" t="inlineStr">
        <is>
          <t>output_template</t>
        </is>
      </c>
      <c r="F79" s="15" t="inlineStr">
        <is>
          <t>investment_memo_artifact_id</t>
        </is>
      </c>
    </row>
    <row r="80" ht="18" customHeight="1" s="12">
      <c r="A80" s="15" t="inlineStr">
        <is>
          <t>Deal Pipeline</t>
        </is>
      </c>
      <c r="B80" s="15" t="inlineStr">
        <is>
          <t>Decision Review</t>
        </is>
      </c>
      <c r="C80" s="16">
        <f>HYPERLINK('Link Config'!$B$2&amp;"plugins/vc/tasks/create-ic-memo.md","Create IC Memo")</f>
        <v/>
      </c>
      <c r="D80" s="16">
        <f>HYPERLINK('Link Config'!$B$2&amp;"plugins/vc/alludium/documents/shared/opportunity-evaluation-framework.md","Opportunity Evaluation Framework (vc.document.opportunity_evaluation_framework)")</f>
        <v/>
      </c>
      <c r="E80" s="15" t="inlineStr">
        <is>
          <t>methodology</t>
        </is>
      </c>
      <c r="F80" s="15" t="inlineStr"/>
    </row>
    <row r="81" ht="18" customHeight="1" s="12">
      <c r="A81" s="15" t="inlineStr">
        <is>
          <t>Deal Pipeline</t>
        </is>
      </c>
      <c r="B81" s="15" t="inlineStr">
        <is>
          <t>Decision Review</t>
        </is>
      </c>
      <c r="C81" s="16">
        <f>HYPERLINK('Link Config'!$B$2&amp;"plugins/vc/tasks/create-ic-memo.md","Create IC Memo")</f>
        <v/>
      </c>
      <c r="D81" s="16">
        <f>HYPERLINK('Link Config'!$B$2&amp;"plugins/vc/alludium/documents/shared/evaluation-workstream-guide.md","Evaluation Workstream Guide (vc.document.evaluation_workstream_guide)")</f>
        <v/>
      </c>
      <c r="E81" s="15" t="inlineStr">
        <is>
          <t>methodology</t>
        </is>
      </c>
      <c r="F81" s="15" t="inlineStr"/>
    </row>
    <row r="82" ht="18" customHeight="1" s="12">
      <c r="A82" s="15" t="inlineStr">
        <is>
          <t>Deal Pipeline</t>
        </is>
      </c>
      <c r="B82" s="15" t="inlineStr">
        <is>
          <t>Decision Review</t>
        </is>
      </c>
      <c r="C82" s="16">
        <f>HYPERLINK('Link Config'!$B$2&amp;"plugins/vc/tasks/create-ic-memo.md","Create IC Memo")</f>
        <v/>
      </c>
      <c r="D82" s="16">
        <f>HYPERLINK('Link Config'!$B$2&amp;"plugins/vc/alludium/documents/deal-room/formal-diligence-workstream-guide.md","Formal Diligence Workstream Guide (vc.document.formal_diligence_workstream_guide)")</f>
        <v/>
      </c>
      <c r="E82" s="15" t="inlineStr">
        <is>
          <t>methodology</t>
        </is>
      </c>
      <c r="F82" s="15" t="inlineStr"/>
    </row>
    <row r="83" ht="18" customHeight="1" s="12">
      <c r="A83" s="15" t="inlineStr">
        <is>
          <t>Deal Pipeline</t>
        </is>
      </c>
      <c r="B83" s="15" t="inlineStr">
        <is>
          <t>Decision Review</t>
        </is>
      </c>
      <c r="C83" s="16">
        <f>HYPERLINK('Link Config'!$B$2&amp;"plugins/vc/tasks/create-ic-memo.md","Create IC Memo")</f>
        <v/>
      </c>
      <c r="D83" s="16">
        <f>HYPERLINK('Link Config'!$B$2&amp;"plugins/vc/alludium/documents/deal-room/formal-diligence-checklist.md","Formal Diligence Checklist (vc.document.formal_diligence_checklist)")</f>
        <v/>
      </c>
      <c r="E83" s="15" t="inlineStr">
        <is>
          <t>checklist</t>
        </is>
      </c>
      <c r="F83" s="15" t="inlineStr"/>
    </row>
    <row r="84" ht="18" customHeight="1" s="12">
      <c r="A84" s="15" t="inlineStr">
        <is>
          <t>Deal Pipeline</t>
        </is>
      </c>
      <c r="B84" s="15" t="inlineStr">
        <is>
          <t>Decision Review</t>
        </is>
      </c>
      <c r="C84" s="16">
        <f>HYPERLINK('Link Config'!$B$2&amp;"plugins/vc/tasks/create-ic-memo.md","Create IC Memo")</f>
        <v/>
      </c>
      <c r="D84" s="16">
        <f>HYPERLINK('Link Config'!$B$2&amp;"plugins/vc/alludium/documents/shared/evidence-citation-style-guide.md","Evidence And Citation Style Guide (vc.document.evidence_citation_style_guide)")</f>
        <v/>
      </c>
      <c r="E84" s="15" t="inlineStr">
        <is>
          <t>style_guide</t>
        </is>
      </c>
      <c r="F84" s="15" t="inlineStr"/>
    </row>
    <row r="85" ht="18" customHeight="1" s="12">
      <c r="A85" s="15" t="inlineStr">
        <is>
          <t>Deal Pipeline</t>
        </is>
      </c>
      <c r="B85" s="15" t="inlineStr">
        <is>
          <t>Decision Review</t>
        </is>
      </c>
      <c r="C85" s="16">
        <f>HYPERLINK('Link Config'!$B$2&amp;"plugins/vc/tasks/create-ic-memo.md","Create IC Memo")</f>
        <v/>
      </c>
      <c r="D85" s="16">
        <f>HYPERLINK('Link Config'!$B$2&amp;"plugins/vc/alludium/documents/shared/template-use-guidance.md","Template Use Guidance (vc.document.template_use_guidance)")</f>
        <v/>
      </c>
      <c r="E85" s="15" t="inlineStr">
        <is>
          <t>operating_guidance</t>
        </is>
      </c>
      <c r="F85" s="15" t="inlineStr"/>
    </row>
    <row r="86" ht="18" customHeight="1" s="12">
      <c r="A86" s="15" t="inlineStr">
        <is>
          <t>Deal Pipeline</t>
        </is>
      </c>
      <c r="B86" s="15" t="inlineStr">
        <is>
          <t>Decision Review</t>
        </is>
      </c>
      <c r="C86" s="16">
        <f>HYPERLINK('Link Config'!$B$2&amp;"plugins/vc/tasks/prepare-ic-agenda.md","Prepare IC Agenda")</f>
        <v/>
      </c>
      <c r="D86" s="16">
        <f>HYPERLINK('Link Config'!$B$2&amp;"plugins/vc/alludium/documents/deal-room/ic-agenda-template.md","IC Agenda Template (vc.document.ic_agenda_template)")</f>
        <v/>
      </c>
      <c r="E86" s="15" t="inlineStr">
        <is>
          <t>output_template</t>
        </is>
      </c>
      <c r="F86" s="15" t="inlineStr">
        <is>
          <t>ic_agenda_artifact_id</t>
        </is>
      </c>
    </row>
    <row r="87" ht="18" customHeight="1" s="12">
      <c r="A87" s="15" t="inlineStr">
        <is>
          <t>Deal Pipeline</t>
        </is>
      </c>
      <c r="B87" s="15" t="inlineStr">
        <is>
          <t>Decision Review</t>
        </is>
      </c>
      <c r="C87" s="16">
        <f>HYPERLINK('Link Config'!$B$2&amp;"plugins/vc/tasks/prepare-ic-agenda.md","Prepare IC Agenda")</f>
        <v/>
      </c>
      <c r="D87" s="16">
        <f>HYPERLINK('Link Config'!$B$2&amp;"plugins/vc/alludium/documents/shared/template-use-guidance.md","Template Use Guidance (vc.document.template_use_guidance)")</f>
        <v/>
      </c>
      <c r="E87" s="15" t="inlineStr">
        <is>
          <t>operating_guidance</t>
        </is>
      </c>
      <c r="F87" s="15" t="inlineStr"/>
    </row>
    <row r="88" ht="18" customHeight="1" s="12">
      <c r="A88" s="15" t="inlineStr">
        <is>
          <t>Deal Pipeline</t>
        </is>
      </c>
      <c r="B88" s="15" t="inlineStr">
        <is>
          <t>Decision Review</t>
        </is>
      </c>
      <c r="C88" s="16">
        <f>HYPERLINK('Link Config'!$B$2&amp;"plugins/vc/tasks/review-ic-memo.md","Review IC Memo")</f>
        <v/>
      </c>
      <c r="D88" s="16">
        <f>HYPERLINK('Link Config'!$B$2&amp;"plugins/vc/alludium/documents/deal-room/ic-memo-review-template.md","IC Memo Review Template (vc.document.ic_memo_review_template)")</f>
        <v/>
      </c>
      <c r="E88" s="15" t="inlineStr">
        <is>
          <t>output_template</t>
        </is>
      </c>
      <c r="F88" s="15" t="inlineStr">
        <is>
          <t>ic_memo_review_artifact_id</t>
        </is>
      </c>
    </row>
    <row r="89" ht="18" customHeight="1" s="12">
      <c r="A89" s="15" t="inlineStr">
        <is>
          <t>Deal Pipeline</t>
        </is>
      </c>
      <c r="B89" s="15" t="inlineStr">
        <is>
          <t>Decision Review</t>
        </is>
      </c>
      <c r="C89" s="16">
        <f>HYPERLINK('Link Config'!$B$2&amp;"plugins/vc/tasks/review-ic-memo.md","Review IC Memo")</f>
        <v/>
      </c>
      <c r="D89" s="16">
        <f>HYPERLINK('Link Config'!$B$2&amp;"plugins/vc/alludium/documents/shared/opportunity-evaluation-framework.md","Opportunity Evaluation Framework (vc.document.opportunity_evaluation_framework)")</f>
        <v/>
      </c>
      <c r="E89" s="15" t="inlineStr">
        <is>
          <t>methodology</t>
        </is>
      </c>
      <c r="F89" s="15" t="inlineStr"/>
    </row>
    <row r="90" ht="18" customHeight="1" s="12">
      <c r="A90" s="15" t="inlineStr">
        <is>
          <t>Deal Pipeline</t>
        </is>
      </c>
      <c r="B90" s="15" t="inlineStr">
        <is>
          <t>Decision Review</t>
        </is>
      </c>
      <c r="C90" s="16">
        <f>HYPERLINK('Link Config'!$B$2&amp;"plugins/vc/tasks/review-ic-memo.md","Review IC Memo")</f>
        <v/>
      </c>
      <c r="D90" s="16">
        <f>HYPERLINK('Link Config'!$B$2&amp;"plugins/vc/alludium/documents/shared/evaluation-workstream-guide.md","Evaluation Workstream Guide (vc.document.evaluation_workstream_guide)")</f>
        <v/>
      </c>
      <c r="E90" s="15" t="inlineStr">
        <is>
          <t>methodology</t>
        </is>
      </c>
      <c r="F90" s="15" t="inlineStr"/>
    </row>
    <row r="91" ht="18" customHeight="1" s="12">
      <c r="A91" s="15" t="inlineStr">
        <is>
          <t>Deal Pipeline</t>
        </is>
      </c>
      <c r="B91" s="15" t="inlineStr">
        <is>
          <t>Decision Review</t>
        </is>
      </c>
      <c r="C91" s="16">
        <f>HYPERLINK('Link Config'!$B$2&amp;"plugins/vc/tasks/review-ic-memo.md","Review IC Memo")</f>
        <v/>
      </c>
      <c r="D91" s="16">
        <f>HYPERLINK('Link Config'!$B$2&amp;"plugins/vc/alludium/documents/deal-room/formal-diligence-workstream-guide.md","Formal Diligence Workstream Guide (vc.document.formal_diligence_workstream_guide)")</f>
        <v/>
      </c>
      <c r="E91" s="15" t="inlineStr">
        <is>
          <t>methodology</t>
        </is>
      </c>
      <c r="F91" s="15" t="inlineStr"/>
    </row>
    <row r="92" ht="18" customHeight="1" s="12">
      <c r="A92" s="15" t="inlineStr">
        <is>
          <t>Deal Pipeline</t>
        </is>
      </c>
      <c r="B92" s="15" t="inlineStr">
        <is>
          <t>Decision Review</t>
        </is>
      </c>
      <c r="C92" s="16">
        <f>HYPERLINK('Link Config'!$B$2&amp;"plugins/vc/tasks/review-ic-memo.md","Review IC Memo")</f>
        <v/>
      </c>
      <c r="D92" s="16">
        <f>HYPERLINK('Link Config'!$B$2&amp;"plugins/vc/alludium/documents/deal-room/formal-diligence-checklist.md","Formal Diligence Checklist (vc.document.formal_diligence_checklist)")</f>
        <v/>
      </c>
      <c r="E92" s="15" t="inlineStr">
        <is>
          <t>checklist</t>
        </is>
      </c>
      <c r="F92" s="15" t="inlineStr"/>
    </row>
    <row r="93" ht="18" customHeight="1" s="12">
      <c r="A93" s="15" t="inlineStr">
        <is>
          <t>Deal Pipeline</t>
        </is>
      </c>
      <c r="B93" s="15" t="inlineStr">
        <is>
          <t>Decision Review</t>
        </is>
      </c>
      <c r="C93" s="16">
        <f>HYPERLINK('Link Config'!$B$2&amp;"plugins/vc/tasks/review-ic-memo.md","Review IC Memo")</f>
        <v/>
      </c>
      <c r="D93" s="16">
        <f>HYPERLINK('Link Config'!$B$2&amp;"plugins/vc/alludium/documents/shared/evidence-citation-style-guide.md","Evidence And Citation Style Guide (vc.document.evidence_citation_style_guide)")</f>
        <v/>
      </c>
      <c r="E93" s="15" t="inlineStr">
        <is>
          <t>style_guide</t>
        </is>
      </c>
      <c r="F93" s="15" t="inlineStr"/>
    </row>
    <row r="94" ht="18" customHeight="1" s="12">
      <c r="A94" s="15" t="inlineStr">
        <is>
          <t>Deal Pipeline</t>
        </is>
      </c>
      <c r="B94" s="15" t="inlineStr">
        <is>
          <t>Decision Review</t>
        </is>
      </c>
      <c r="C94" s="16">
        <f>HYPERLINK('Link Config'!$B$2&amp;"plugins/vc/tasks/review-ic-memo.md","Review IC Memo")</f>
        <v/>
      </c>
      <c r="D94" s="16">
        <f>HYPERLINK('Link Config'!$B$2&amp;"plugins/vc/alludium/documents/shared/template-use-guidance.md","Template Use Guidance (vc.document.template_use_guidance)")</f>
        <v/>
      </c>
      <c r="E94" s="15" t="inlineStr">
        <is>
          <t>operating_guidance</t>
        </is>
      </c>
      <c r="F94" s="15" t="inlineStr"/>
    </row>
    <row r="95" ht="18" customHeight="1" s="12">
      <c r="A95" s="15" t="inlineStr">
        <is>
          <t>Deal Pipeline</t>
        </is>
      </c>
      <c r="B95" s="15" t="inlineStr">
        <is>
          <t>Decision Review</t>
        </is>
      </c>
      <c r="C95" s="16">
        <f>HYPERLINK('Link Config'!$B$2&amp;"plugins/vc/tasks/record-ic-decision.md","Record IC Decision")</f>
        <v/>
      </c>
      <c r="D95" s="16">
        <f>HYPERLINK('Link Config'!$B$2&amp;"plugins/vc/alludium/documents/deal-room/ic-decision-record-template.md","IC Decision Record Template (vc.document.ic_decision_record_template)")</f>
        <v/>
      </c>
      <c r="E95" s="15" t="inlineStr">
        <is>
          <t>output_template</t>
        </is>
      </c>
      <c r="F95" s="15" t="inlineStr">
        <is>
          <t>ic_decision_record_artifact_id</t>
        </is>
      </c>
    </row>
    <row r="96" ht="18" customHeight="1" s="12">
      <c r="A96" s="15" t="inlineStr">
        <is>
          <t>Deal Pipeline</t>
        </is>
      </c>
      <c r="B96" s="15" t="inlineStr">
        <is>
          <t>Decision Review</t>
        </is>
      </c>
      <c r="C96" s="16">
        <f>HYPERLINK('Link Config'!$B$2&amp;"plugins/vc/tasks/record-ic-decision.md","Record IC Decision")</f>
        <v/>
      </c>
      <c r="D96" s="16">
        <f>HYPERLINK('Link Config'!$B$2&amp;"plugins/vc/alludium/documents/shared/evidence-citation-style-guide.md","Evidence And Citation Style Guide (vc.document.evidence_citation_style_guide)")</f>
        <v/>
      </c>
      <c r="E96" s="15" t="inlineStr">
        <is>
          <t>style_guide</t>
        </is>
      </c>
      <c r="F96" s="15" t="inlineStr"/>
    </row>
    <row r="97" ht="18" customHeight="1" s="12">
      <c r="A97" s="15" t="inlineStr">
        <is>
          <t>Deal Pipeline</t>
        </is>
      </c>
      <c r="B97" s="15" t="inlineStr">
        <is>
          <t>Decision Review</t>
        </is>
      </c>
      <c r="C97" s="16">
        <f>HYPERLINK('Link Config'!$B$2&amp;"plugins/vc/tasks/record-ic-decision.md","Record IC Decision")</f>
        <v/>
      </c>
      <c r="D97" s="16">
        <f>HYPERLINK('Link Config'!$B$2&amp;"plugins/vc/alludium/documents/shared/template-use-guidance.md","Template Use Guidance (vc.document.template_use_guidance)")</f>
        <v/>
      </c>
      <c r="E97" s="15" t="inlineStr">
        <is>
          <t>operating_guidance</t>
        </is>
      </c>
      <c r="F97" s="15" t="inlineStr"/>
    </row>
    <row r="98" ht="18" customHeight="1" s="12">
      <c r="A98" s="15" t="inlineStr">
        <is>
          <t>Deal Pipeline</t>
        </is>
      </c>
      <c r="B98" s="15" t="inlineStr">
        <is>
          <t>Deal Structuring</t>
        </is>
      </c>
      <c r="C98" s="16">
        <f>HYPERLINK('Link Config'!$B$2&amp;"plugins/vc/tasks/analyze-deal-terms.md","Analyze Deal Terms")</f>
        <v/>
      </c>
      <c r="D98" s="16">
        <f>HYPERLINK('Link Config'!$B$2&amp;"plugins/vc/alludium/documents/deal-room/deal-terms-analysis-template.md","Deal Terms Analysis Template (vc.document.deal_terms_analysis_template)")</f>
        <v/>
      </c>
      <c r="E98" s="15" t="inlineStr">
        <is>
          <t>output_template</t>
        </is>
      </c>
      <c r="F98" s="15" t="inlineStr">
        <is>
          <t>deal_terms_analysis_artifact_id</t>
        </is>
      </c>
    </row>
    <row r="99" ht="18" customHeight="1" s="12">
      <c r="A99" s="15" t="inlineStr">
        <is>
          <t>Deal Pipeline</t>
        </is>
      </c>
      <c r="B99" s="15" t="inlineStr">
        <is>
          <t>Deal Structuring</t>
        </is>
      </c>
      <c r="C99" s="16">
        <f>HYPERLINK('Link Config'!$B$2&amp;"plugins/vc/tasks/analyze-deal-terms.md","Analyze Deal Terms")</f>
        <v/>
      </c>
      <c r="D99" s="16">
        <f>HYPERLINK('Link Config'!$B$2&amp;"plugins/vc/alludium/documents/shared/evidence-citation-style-guide.md","Evidence And Citation Style Guide (vc.document.evidence_citation_style_guide)")</f>
        <v/>
      </c>
      <c r="E99" s="15" t="inlineStr">
        <is>
          <t>style_guide</t>
        </is>
      </c>
      <c r="F99" s="15" t="inlineStr"/>
    </row>
    <row r="100" ht="18" customHeight="1" s="12">
      <c r="A100" s="15" t="inlineStr">
        <is>
          <t>Deal Pipeline</t>
        </is>
      </c>
      <c r="B100" s="15" t="inlineStr">
        <is>
          <t>Deal Structuring</t>
        </is>
      </c>
      <c r="C100" s="16">
        <f>HYPERLINK('Link Config'!$B$2&amp;"plugins/vc/tasks/analyze-deal-terms.md","Analyze Deal Terms")</f>
        <v/>
      </c>
      <c r="D100" s="16">
        <f>HYPERLINK('Link Config'!$B$2&amp;"plugins/vc/alludium/documents/shared/template-use-guidance.md","Template Use Guidance (vc.document.template_use_guidance)")</f>
        <v/>
      </c>
      <c r="E100" s="15" t="inlineStr">
        <is>
          <t>operating_guidance</t>
        </is>
      </c>
      <c r="F100" s="15" t="inlineStr"/>
    </row>
    <row r="101" ht="18" customHeight="1" s="12">
      <c r="A101" s="15" t="inlineStr">
        <is>
          <t>Deal Pipeline</t>
        </is>
      </c>
      <c r="B101" s="15" t="inlineStr">
        <is>
          <t>Deal Structuring</t>
        </is>
      </c>
      <c r="C101" s="16">
        <f>HYPERLINK('Link Config'!$B$2&amp;"plugins/vc/tasks/track-term-sheet-negotiation.md","Track Term Sheet Negotiation")</f>
        <v/>
      </c>
      <c r="D101" s="16">
        <f>HYPERLINK('Link Config'!$B$2&amp;"plugins/vc/alludium/documents/deal-room/term-sheet-negotiation-brief-template.md","Term Sheet Negotiation Brief Template (vc.document.term_sheet_negotiation_brief_template)")</f>
        <v/>
      </c>
      <c r="E101" s="15" t="inlineStr">
        <is>
          <t>output_template</t>
        </is>
      </c>
      <c r="F101" s="15" t="inlineStr">
        <is>
          <t>negotiation_brief_artifact_id</t>
        </is>
      </c>
    </row>
    <row r="102" ht="18" customHeight="1" s="12">
      <c r="A102" s="15" t="inlineStr">
        <is>
          <t>Deal Pipeline</t>
        </is>
      </c>
      <c r="B102" s="15" t="inlineStr">
        <is>
          <t>Deal Structuring</t>
        </is>
      </c>
      <c r="C102" s="16">
        <f>HYPERLINK('Link Config'!$B$2&amp;"plugins/vc/tasks/track-term-sheet-negotiation.md","Track Term Sheet Negotiation")</f>
        <v/>
      </c>
      <c r="D102" s="16">
        <f>HYPERLINK('Link Config'!$B$2&amp;"plugins/vc/alludium/documents/shared/evidence-citation-style-guide.md","Evidence And Citation Style Guide (vc.document.evidence_citation_style_guide)")</f>
        <v/>
      </c>
      <c r="E102" s="15" t="inlineStr">
        <is>
          <t>style_guide</t>
        </is>
      </c>
      <c r="F102" s="15" t="inlineStr"/>
    </row>
    <row r="103" ht="18" customHeight="1" s="12">
      <c r="A103" s="15" t="inlineStr">
        <is>
          <t>Deal Pipeline</t>
        </is>
      </c>
      <c r="B103" s="15" t="inlineStr">
        <is>
          <t>Deal Structuring</t>
        </is>
      </c>
      <c r="C103" s="16">
        <f>HYPERLINK('Link Config'!$B$2&amp;"plugins/vc/tasks/track-term-sheet-negotiation.md","Track Term Sheet Negotiation")</f>
        <v/>
      </c>
      <c r="D103" s="16">
        <f>HYPERLINK('Link Config'!$B$2&amp;"plugins/vc/alludium/documents/shared/template-use-guidance.md","Template Use Guidance (vc.document.template_use_guidance)")</f>
        <v/>
      </c>
      <c r="E103" s="15" t="inlineStr">
        <is>
          <t>operating_guidance</t>
        </is>
      </c>
      <c r="F103" s="15" t="inlineStr"/>
    </row>
    <row r="104" ht="18" customHeight="1" s="12">
      <c r="A104" s="15" t="inlineStr">
        <is>
          <t>Deal Pipeline</t>
        </is>
      </c>
      <c r="B104" s="15" t="inlineStr">
        <is>
          <t>Deal Structuring</t>
        </is>
      </c>
      <c r="C104" s="16">
        <f>HYPERLINK('Link Config'!$B$2&amp;"plugins/vc/tasks/review-term-sheet.md","Review Term Sheet")</f>
        <v/>
      </c>
      <c r="D104" s="16">
        <f>HYPERLINK('Link Config'!$B$2&amp;"plugins/vc/alludium/documents/deal-room/term-sheet-review-template.md","Term Sheet Review Template (vc.document.term_sheet_review_template)")</f>
        <v/>
      </c>
      <c r="E104" s="15" t="inlineStr">
        <is>
          <t>output_template</t>
        </is>
      </c>
      <c r="F104" s="15" t="inlineStr">
        <is>
          <t>term_sheet_review_artifact_id</t>
        </is>
      </c>
    </row>
    <row r="105" ht="18" customHeight="1" s="12">
      <c r="A105" s="15" t="inlineStr">
        <is>
          <t>Deal Pipeline</t>
        </is>
      </c>
      <c r="B105" s="15" t="inlineStr">
        <is>
          <t>Deal Structuring</t>
        </is>
      </c>
      <c r="C105" s="16">
        <f>HYPERLINK('Link Config'!$B$2&amp;"plugins/vc/tasks/review-term-sheet.md","Review Term Sheet")</f>
        <v/>
      </c>
      <c r="D105" s="16">
        <f>HYPERLINK('Link Config'!$B$2&amp;"plugins/vc/alludium/documents/shared/evidence-citation-style-guide.md","Evidence And Citation Style Guide (vc.document.evidence_citation_style_guide)")</f>
        <v/>
      </c>
      <c r="E105" s="15" t="inlineStr">
        <is>
          <t>style_guide</t>
        </is>
      </c>
      <c r="F105" s="15" t="inlineStr"/>
    </row>
    <row r="106" ht="18" customHeight="1" s="12">
      <c r="A106" s="15" t="inlineStr">
        <is>
          <t>Deal Pipeline</t>
        </is>
      </c>
      <c r="B106" s="15" t="inlineStr">
        <is>
          <t>Deal Structuring</t>
        </is>
      </c>
      <c r="C106" s="16">
        <f>HYPERLINK('Link Config'!$B$2&amp;"plugins/vc/tasks/review-term-sheet.md","Review Term Sheet")</f>
        <v/>
      </c>
      <c r="D106" s="16">
        <f>HYPERLINK('Link Config'!$B$2&amp;"plugins/vc/alludium/documents/shared/template-use-guidance.md","Template Use Guidance (vc.document.template_use_guidance)")</f>
        <v/>
      </c>
      <c r="E106" s="15" t="inlineStr">
        <is>
          <t>operating_guidance</t>
        </is>
      </c>
      <c r="F106" s="15" t="inlineStr"/>
    </row>
    <row r="107" ht="18" customHeight="1" s="12">
      <c r="A107" s="15" t="inlineStr">
        <is>
          <t>Origination Pipeline</t>
        </is>
      </c>
      <c r="B107" s="15" t="inlineStr">
        <is>
          <t>Setup</t>
        </is>
      </c>
      <c r="C107" s="16">
        <f>HYPERLINK('Link Config'!$B$2&amp;"plugins/vc/tasks/configure-origination-pipeline.md","Configure Origination Pipeline")</f>
        <v/>
      </c>
      <c r="D107" s="16">
        <f>HYPERLINK('Link Config'!$B$2&amp;"plugins/vc/alludium/documents/origination/origination-pipeline-sop.md","Origination Pipeline Operating SOP (vc.document.origination_pipeline_sop)")</f>
        <v/>
      </c>
      <c r="E107" s="15" t="inlineStr">
        <is>
          <t>operating_guidance</t>
        </is>
      </c>
      <c r="F107" s="15" t="inlineStr"/>
    </row>
    <row r="108" ht="18" customHeight="1" s="12">
      <c r="A108" s="15" t="inlineStr">
        <is>
          <t>Origination Pipeline</t>
        </is>
      </c>
      <c r="B108" s="15" t="inlineStr">
        <is>
          <t>Setup</t>
        </is>
      </c>
      <c r="C108" s="16">
        <f>HYPERLINK('Link Config'!$B$2&amp;"plugins/vc/tasks/configure-origination-pipeline.md","Configure Origination Pipeline")</f>
        <v/>
      </c>
      <c r="D108" s="16">
        <f>HYPERLINK('Link Config'!$B$2&amp;"plugins/vc/alludium/documents/origination/origination-source-strategy-guide.md","Origination Source Strategy Guide (vc.document.origination_source_strategy_guide)")</f>
        <v/>
      </c>
      <c r="E108" s="15" t="inlineStr">
        <is>
          <t>methodology</t>
        </is>
      </c>
      <c r="F108" s="15" t="inlineStr"/>
    </row>
    <row r="109" ht="18" customHeight="1" s="12">
      <c r="A109" s="15" t="inlineStr">
        <is>
          <t>Origination Pipeline</t>
        </is>
      </c>
      <c r="B109" s="15" t="inlineStr">
        <is>
          <t>Setup</t>
        </is>
      </c>
      <c r="C109" s="16">
        <f>HYPERLINK('Link Config'!$B$2&amp;"plugins/vc/tasks/configure-origination-pipeline.md","Configure Origination Pipeline")</f>
        <v/>
      </c>
      <c r="D109" s="16">
        <f>HYPERLINK('Link Config'!$B$2&amp;"plugins/vc/alludium/documents/origination/source-registry-template.md","Source Registry Template (vc.document.source_registry_template)")</f>
        <v/>
      </c>
      <c r="E109" s="15" t="inlineStr">
        <is>
          <t>operating_guidance</t>
        </is>
      </c>
      <c r="F109" s="15" t="inlineStr"/>
    </row>
    <row r="110" ht="18" customHeight="1" s="12">
      <c r="A110" s="15" t="inlineStr">
        <is>
          <t>Origination Pipeline</t>
        </is>
      </c>
      <c r="B110" s="15" t="inlineStr">
        <is>
          <t>Setup</t>
        </is>
      </c>
      <c r="C110" s="16">
        <f>HYPERLINK('Link Config'!$B$2&amp;"plugins/vc/tasks/configure-origination-pipeline.md","Configure Origination Pipeline")</f>
        <v/>
      </c>
      <c r="D110" s="16">
        <f>HYPERLINK('Link Config'!$B$2&amp;"plugins/vc/alludium/documents/shared/template-use-guidance.md","Template Use Guidance (vc.document.template_use_guidance)")</f>
        <v/>
      </c>
      <c r="E110" s="15" t="inlineStr">
        <is>
          <t>operating_guidance</t>
        </is>
      </c>
      <c r="F110" s="15" t="inlineStr"/>
    </row>
    <row r="111" ht="18" customHeight="1" s="12">
      <c r="A111" s="15" t="inlineStr">
        <is>
          <t>Origination Pipeline</t>
        </is>
      </c>
      <c r="B111" s="15" t="inlineStr">
        <is>
          <t>Pipeline Management</t>
        </is>
      </c>
      <c r="C111" s="16">
        <f>HYPERLINK('Link Config'!$B$2&amp;"plugins/vc/tasks/review-source-errors-and-spend.md","Review Source Errors and Spend")</f>
        <v/>
      </c>
      <c r="D111" s="16">
        <f>HYPERLINK('Link Config'!$B$2&amp;"plugins/vc/alludium/documents/origination/source-health-review-checklist.md","Source Health Review Checklist (vc.document.source_health_review_checklist)")</f>
        <v/>
      </c>
      <c r="E111" s="15" t="inlineStr">
        <is>
          <t>output_template</t>
        </is>
      </c>
      <c r="F111" s="15" t="inlineStr">
        <is>
          <t>source_health_artifact_id</t>
        </is>
      </c>
    </row>
    <row r="112" ht="18" customHeight="1" s="12">
      <c r="A112" s="15" t="inlineStr">
        <is>
          <t>Origination Pipeline</t>
        </is>
      </c>
      <c r="B112" s="15" t="inlineStr">
        <is>
          <t>Pipeline Management</t>
        </is>
      </c>
      <c r="C112" s="16">
        <f>HYPERLINK('Link Config'!$B$2&amp;"plugins/vc/tasks/review-source-errors-and-spend.md","Review Source Errors and Spend")</f>
        <v/>
      </c>
      <c r="D112" s="16">
        <f>HYPERLINK('Link Config'!$B$2&amp;"plugins/vc/alludium/documents/origination/paid-source-spend-audit-checklist.md","Paid Source Spend Audit Checklist (vc.document.paid_source_spend_audit_checklist)")</f>
        <v/>
      </c>
      <c r="E112" s="15" t="inlineStr">
        <is>
          <t>checklist</t>
        </is>
      </c>
      <c r="F112" s="15" t="inlineStr"/>
    </row>
    <row r="113" ht="18" customHeight="1" s="12">
      <c r="A113" s="15" t="inlineStr">
        <is>
          <t>Origination Pipeline</t>
        </is>
      </c>
      <c r="B113" s="15" t="inlineStr">
        <is>
          <t>Pipeline Management</t>
        </is>
      </c>
      <c r="C113" s="16">
        <f>HYPERLINK('Link Config'!$B$2&amp;"plugins/vc/tasks/review-source-errors-and-spend.md","Review Source Errors and Spend")</f>
        <v/>
      </c>
      <c r="D113" s="16">
        <f>HYPERLINK('Link Config'!$B$2&amp;"plugins/vc/alludium/documents/shared/template-use-guidance.md","Template Use Guidance (vc.document.template_use_guidance)")</f>
        <v/>
      </c>
      <c r="E113" s="15" t="inlineStr">
        <is>
          <t>operating_guidance</t>
        </is>
      </c>
      <c r="F113" s="15" t="inlineStr"/>
    </row>
    <row r="114" ht="18" customHeight="1" s="12">
      <c r="A114" s="15" t="inlineStr">
        <is>
          <t>Origination Pipeline</t>
        </is>
      </c>
      <c r="B114" s="15" t="inlineStr">
        <is>
          <t>Pipeline Management</t>
        </is>
      </c>
      <c r="C114" s="16">
        <f>HYPERLINK('Link Config'!$B$2&amp;"plugins/vc/tasks/prepare-lead-gen-packet.md","Prepare Lead Gen Packet")</f>
        <v/>
      </c>
      <c r="D114" s="16">
        <f>HYPERLINK('Link Config'!$B$2&amp;"plugins/vc/alludium/documents/deal-room/lead-generation-packet-template.md","Lead Generation Packet Template (vc.document.lead_generation_packet_template)")</f>
        <v/>
      </c>
      <c r="E114" s="15" t="inlineStr">
        <is>
          <t>output_template</t>
        </is>
      </c>
      <c r="F114" s="15" t="inlineStr">
        <is>
          <t>lead_generation_packet_artifact_id</t>
        </is>
      </c>
    </row>
    <row r="115" ht="18" customHeight="1" s="12">
      <c r="A115" s="15" t="inlineStr">
        <is>
          <t>Origination Pipeline</t>
        </is>
      </c>
      <c r="B115" s="15" t="inlineStr">
        <is>
          <t>Pipeline Management</t>
        </is>
      </c>
      <c r="C115" s="16">
        <f>HYPERLINK('Link Config'!$B$2&amp;"plugins/vc/tasks/prepare-lead-gen-packet.md","Prepare Lead Gen Packet")</f>
        <v/>
      </c>
      <c r="D115" s="16">
        <f>HYPERLINK('Link Config'!$B$2&amp;"plugins/vc/alludium/documents/origination/origination-source-strategy-guide.md","Origination Source Strategy Guide (vc.document.origination_source_strategy_guide)")</f>
        <v/>
      </c>
      <c r="E115" s="15" t="inlineStr">
        <is>
          <t>methodology</t>
        </is>
      </c>
      <c r="F115" s="15" t="inlineStr"/>
    </row>
    <row r="116" ht="18" customHeight="1" s="12">
      <c r="A116" s="15" t="inlineStr">
        <is>
          <t>Origination Pipeline</t>
        </is>
      </c>
      <c r="B116" s="15" t="inlineStr">
        <is>
          <t>Pipeline Management</t>
        </is>
      </c>
      <c r="C116" s="16">
        <f>HYPERLINK('Link Config'!$B$2&amp;"plugins/vc/tasks/prepare-lead-gen-packet.md","Prepare Lead Gen Packet")</f>
        <v/>
      </c>
      <c r="D116" s="16">
        <f>HYPERLINK('Link Config'!$B$2&amp;"plugins/vc/alludium/documents/shared/evidence-citation-style-guide.md","Evidence And Citation Style Guide (vc.document.evidence_citation_style_guide)")</f>
        <v/>
      </c>
      <c r="E116" s="15" t="inlineStr">
        <is>
          <t>style_guide</t>
        </is>
      </c>
      <c r="F116" s="15" t="inlineStr"/>
    </row>
    <row r="117" ht="18" customHeight="1" s="12">
      <c r="A117" s="15" t="inlineStr">
        <is>
          <t>Origination Pipeline</t>
        </is>
      </c>
      <c r="B117" s="15" t="inlineStr">
        <is>
          <t>Pipeline Management</t>
        </is>
      </c>
      <c r="C117" s="16">
        <f>HYPERLINK('Link Config'!$B$2&amp;"plugins/vc/tasks/prepare-lead-gen-packet.md","Prepare Lead Gen Packet")</f>
        <v/>
      </c>
      <c r="D117" s="16">
        <f>HYPERLINK('Link Config'!$B$2&amp;"plugins/vc/alludium/documents/shared/template-use-guidance.md","Template Use Guidance (vc.document.template_use_guidance)")</f>
        <v/>
      </c>
      <c r="E117" s="15" t="inlineStr">
        <is>
          <t>operating_guidance</t>
        </is>
      </c>
      <c r="F117" s="15" t="inlineStr"/>
    </row>
    <row r="118" ht="18" customHeight="1" s="12">
      <c r="A118" s="15" t="inlineStr">
        <is>
          <t>Origination Pipeline</t>
        </is>
      </c>
      <c r="B118" s="15" t="inlineStr">
        <is>
          <t>Source</t>
        </is>
      </c>
      <c r="C118" s="16">
        <f>HYPERLINK('Link Config'!$B$2&amp;"plugins/vc/tasks/run-sourcing-pipeline.md","Run VC Sourcing Pipeline")</f>
        <v/>
      </c>
      <c r="D118" s="16">
        <f>HYPERLINK('Link Config'!$B$2&amp;"plugins/vc/alludium/documents/origination/candidate-batch-template.md","Candidate Batch Template (vc.document.candidate_batch_template)")</f>
        <v/>
      </c>
      <c r="E118" s="15" t="inlineStr">
        <is>
          <t>output_template</t>
        </is>
      </c>
      <c r="F118" s="15" t="inlineStr">
        <is>
          <t>candidate_batch_artifact_id</t>
        </is>
      </c>
    </row>
    <row r="119" ht="18" customHeight="1" s="12">
      <c r="A119" s="15" t="inlineStr">
        <is>
          <t>Origination Pipeline</t>
        </is>
      </c>
      <c r="B119" s="15" t="inlineStr">
        <is>
          <t>Source</t>
        </is>
      </c>
      <c r="C119" s="16">
        <f>HYPERLINK('Link Config'!$B$2&amp;"plugins/vc/tasks/run-sourcing-pipeline.md","Run VC Sourcing Pipeline")</f>
        <v/>
      </c>
      <c r="D119" s="16">
        <f>HYPERLINK('Link Config'!$B$2&amp;"plugins/vc/alludium/documents/origination/origination-pipeline-sop.md","Origination Pipeline Operating SOP (vc.document.origination_pipeline_sop)")</f>
        <v/>
      </c>
      <c r="E119" s="15" t="inlineStr">
        <is>
          <t>operating_guidance</t>
        </is>
      </c>
      <c r="F119" s="15" t="inlineStr"/>
    </row>
    <row r="120" ht="18" customHeight="1" s="12">
      <c r="A120" s="15" t="inlineStr">
        <is>
          <t>Origination Pipeline</t>
        </is>
      </c>
      <c r="B120" s="15" t="inlineStr">
        <is>
          <t>Source</t>
        </is>
      </c>
      <c r="C120" s="16">
        <f>HYPERLINK('Link Config'!$B$2&amp;"plugins/vc/tasks/run-sourcing-pipeline.md","Run VC Sourcing Pipeline")</f>
        <v/>
      </c>
      <c r="D120" s="16">
        <f>HYPERLINK('Link Config'!$B$2&amp;"plugins/vc/alludium/documents/origination/origination-source-strategy-guide.md","Origination Source Strategy Guide (vc.document.origination_source_strategy_guide)")</f>
        <v/>
      </c>
      <c r="E120" s="15" t="inlineStr">
        <is>
          <t>methodology</t>
        </is>
      </c>
      <c r="F120" s="15" t="inlineStr"/>
    </row>
    <row r="121" ht="18" customHeight="1" s="12">
      <c r="A121" s="15" t="inlineStr">
        <is>
          <t>Origination Pipeline</t>
        </is>
      </c>
      <c r="B121" s="15" t="inlineStr">
        <is>
          <t>Source</t>
        </is>
      </c>
      <c r="C121" s="16">
        <f>HYPERLINK('Link Config'!$B$2&amp;"plugins/vc/tasks/run-sourcing-pipeline.md","Run VC Sourcing Pipeline")</f>
        <v/>
      </c>
      <c r="D121" s="16">
        <f>HYPERLINK('Link Config'!$B$2&amp;"plugins/vc/alludium/documents/shared/template-use-guidance.md","Template Use Guidance (vc.document.template_use_guidance)")</f>
        <v/>
      </c>
      <c r="E121" s="15" t="inlineStr">
        <is>
          <t>operating_guidance</t>
        </is>
      </c>
      <c r="F121" s="15" t="inlineStr"/>
    </row>
    <row r="122" ht="18" customHeight="1" s="12">
      <c r="A122" s="15" t="inlineStr">
        <is>
          <t>Origination Pipeline</t>
        </is>
      </c>
      <c r="B122" s="15" t="inlineStr">
        <is>
          <t>Source</t>
        </is>
      </c>
      <c r="C122" s="16">
        <f>HYPERLINK('Link Config'!$B$2&amp;"plugins/vc/tasks/generate-sourcing-digest.md","Generate Sourcing Digest")</f>
        <v/>
      </c>
      <c r="D122" s="16">
        <f>HYPERLINK('Link Config'!$B$2&amp;"plugins/vc/alludium/documents/origination/sourcing-digest-template.md","Sourcing Digest Template (vc.document.sourcing_digest_template)")</f>
        <v/>
      </c>
      <c r="E122" s="15" t="inlineStr">
        <is>
          <t>output_template</t>
        </is>
      </c>
      <c r="F122" s="15" t="inlineStr">
        <is>
          <t>sourcing_digest_artifact_id</t>
        </is>
      </c>
    </row>
    <row r="123" ht="18" customHeight="1" s="12">
      <c r="A123" s="15" t="inlineStr">
        <is>
          <t>Origination Pipeline</t>
        </is>
      </c>
      <c r="B123" s="15" t="inlineStr">
        <is>
          <t>Source</t>
        </is>
      </c>
      <c r="C123" s="16">
        <f>HYPERLINK('Link Config'!$B$2&amp;"plugins/vc/tasks/generate-sourcing-digest.md","Generate Sourcing Digest")</f>
        <v/>
      </c>
      <c r="D123" s="16">
        <f>HYPERLINK('Link Config'!$B$2&amp;"plugins/vc/alludium/documents/shared/template-use-guidance.md","Template Use Guidance (vc.document.template_use_guidance)")</f>
        <v/>
      </c>
      <c r="E123" s="15" t="inlineStr">
        <is>
          <t>operating_guidance</t>
        </is>
      </c>
      <c r="F123" s="15" t="inlineStr"/>
    </row>
    <row r="124" ht="18" customHeight="1" s="12">
      <c r="A124" s="15" t="inlineStr">
        <is>
          <t>Origination Pipeline</t>
        </is>
      </c>
      <c r="B124" s="15" t="inlineStr">
        <is>
          <t>Source</t>
        </is>
      </c>
      <c r="C124" s="16">
        <f>HYPERLINK('Link Config'!$B$2&amp;"plugins/vc/tasks/audit-linkedin-query-spend.md","Audit LinkedIn Query Spend")</f>
        <v/>
      </c>
      <c r="D124" s="16">
        <f>HYPERLINK('Link Config'!$B$2&amp;"plugins/vc/alludium/documents/origination/paid-source-spend-audit-checklist.md","Paid Source Spend Audit Checklist (vc.document.paid_source_spend_audit_checklist)")</f>
        <v/>
      </c>
      <c r="E124" s="15" t="inlineStr">
        <is>
          <t>output_template</t>
        </is>
      </c>
      <c r="F124" s="15" t="inlineStr">
        <is>
          <t>linkedin_spend_audit_artifact_id</t>
        </is>
      </c>
    </row>
    <row r="125" ht="18" customHeight="1" s="12">
      <c r="A125" s="15" t="inlineStr">
        <is>
          <t>Origination Pipeline</t>
        </is>
      </c>
      <c r="B125" s="15" t="inlineStr">
        <is>
          <t>Source</t>
        </is>
      </c>
      <c r="C125" s="16">
        <f>HYPERLINK('Link Config'!$B$2&amp;"plugins/vc/tasks/audit-linkedin-query-spend.md","Audit LinkedIn Query Spend")</f>
        <v/>
      </c>
      <c r="D125" s="16">
        <f>HYPERLINK('Link Config'!$B$2&amp;"plugins/vc/alludium/documents/shared/template-use-guidance.md","Template Use Guidance (vc.document.template_use_guidance)")</f>
        <v/>
      </c>
      <c r="E125" s="15" t="inlineStr">
        <is>
          <t>operating_guidance</t>
        </is>
      </c>
      <c r="F125" s="15" t="inlineStr"/>
    </row>
    <row r="126" ht="18" customHeight="1" s="12">
      <c r="A126" s="15" t="inlineStr">
        <is>
          <t>Origination Pipeline</t>
        </is>
      </c>
      <c r="B126" s="15" t="inlineStr">
        <is>
          <t>Source</t>
        </is>
      </c>
      <c r="C126" s="16">
        <f>HYPERLINK('Link Config'!$B$2&amp;"plugins/vc/tasks/source-thesis-targets.md","Source Thesis Targets")</f>
        <v/>
      </c>
      <c r="D126" s="16">
        <f>HYPERLINK('Link Config'!$B$2&amp;"plugins/vc/alludium/documents/deal-room/thesis-target-list-template.md","Thesis Target List Template (vc.document.thesis_target_list_template)")</f>
        <v/>
      </c>
      <c r="E126" s="15" t="inlineStr">
        <is>
          <t>output_template</t>
        </is>
      </c>
      <c r="F126" s="15" t="inlineStr">
        <is>
          <t>thesis_target_list_artifact_id</t>
        </is>
      </c>
    </row>
    <row r="127" ht="18" customHeight="1" s="12">
      <c r="A127" s="15" t="inlineStr">
        <is>
          <t>Origination Pipeline</t>
        </is>
      </c>
      <c r="B127" s="15" t="inlineStr">
        <is>
          <t>Source</t>
        </is>
      </c>
      <c r="C127" s="16">
        <f>HYPERLINK('Link Config'!$B$2&amp;"plugins/vc/tasks/source-thesis-targets.md","Source Thesis Targets")</f>
        <v/>
      </c>
      <c r="D127" s="16">
        <f>HYPERLINK('Link Config'!$B$2&amp;"plugins/vc/alludium/documents/origination/origination-source-strategy-guide.md","Origination Source Strategy Guide (vc.document.origination_source_strategy_guide)")</f>
        <v/>
      </c>
      <c r="E127" s="15" t="inlineStr">
        <is>
          <t>methodology</t>
        </is>
      </c>
      <c r="F127" s="15" t="inlineStr"/>
    </row>
    <row r="128" ht="18" customHeight="1" s="12">
      <c r="A128" s="15" t="inlineStr">
        <is>
          <t>Origination Pipeline</t>
        </is>
      </c>
      <c r="B128" s="15" t="inlineStr">
        <is>
          <t>Source</t>
        </is>
      </c>
      <c r="C128" s="16">
        <f>HYPERLINK('Link Config'!$B$2&amp;"plugins/vc/tasks/source-thesis-targets.md","Source Thesis Targets")</f>
        <v/>
      </c>
      <c r="D128" s="16">
        <f>HYPERLINK('Link Config'!$B$2&amp;"plugins/vc/alludium/documents/shared/evidence-citation-style-guide.md","Evidence And Citation Style Guide (vc.document.evidence_citation_style_guide)")</f>
        <v/>
      </c>
      <c r="E128" s="15" t="inlineStr">
        <is>
          <t>style_guide</t>
        </is>
      </c>
      <c r="F128" s="15" t="inlineStr"/>
    </row>
    <row r="129" ht="18" customHeight="1" s="12">
      <c r="A129" s="15" t="inlineStr">
        <is>
          <t>Origination Pipeline</t>
        </is>
      </c>
      <c r="B129" s="15" t="inlineStr">
        <is>
          <t>Source</t>
        </is>
      </c>
      <c r="C129" s="16">
        <f>HYPERLINK('Link Config'!$B$2&amp;"plugins/vc/tasks/source-thesis-targets.md","Source Thesis Targets")</f>
        <v/>
      </c>
      <c r="D129" s="16">
        <f>HYPERLINK('Link Config'!$B$2&amp;"plugins/vc/alludium/documents/shared/template-use-guidance.md","Template Use Guidance (vc.document.template_use_guidance)")</f>
        <v/>
      </c>
      <c r="E129" s="15" t="inlineStr">
        <is>
          <t>operating_guidance</t>
        </is>
      </c>
      <c r="F129" s="15" t="inlineStr"/>
    </row>
    <row r="130" ht="18" customHeight="1" s="12">
      <c r="A130" s="15" t="inlineStr">
        <is>
          <t>Origination Pipeline</t>
        </is>
      </c>
      <c r="B130" s="15" t="inlineStr">
        <is>
          <t>Initial Screen</t>
        </is>
      </c>
      <c r="C130" s="16">
        <f>HYPERLINK('Link Config'!$B$2&amp;"plugins/vc/tasks/score-sourcing-candidates.md","Score Sourcing Candidate")</f>
        <v/>
      </c>
      <c r="D130" s="16">
        <f>HYPERLINK('Link Config'!$B$2&amp;"plugins/vc/alludium/documents/origination/sourcing-scoring-rubric.md","Sourcing Scoring Rubric (vc.document.sourcing_scoring_rubric)")</f>
        <v/>
      </c>
      <c r="E130" s="15" t="inlineStr">
        <is>
          <t>methodology</t>
        </is>
      </c>
      <c r="F130" s="15" t="inlineStr">
        <is>
          <t>scoring_artifact_id</t>
        </is>
      </c>
    </row>
    <row r="131" ht="18" customHeight="1" s="12">
      <c r="A131" s="15" t="inlineStr">
        <is>
          <t>Origination Pipeline</t>
        </is>
      </c>
      <c r="B131" s="15" t="inlineStr">
        <is>
          <t>Initial Screen</t>
        </is>
      </c>
      <c r="C131" s="16">
        <f>HYPERLINK('Link Config'!$B$2&amp;"plugins/vc/tasks/score-sourcing-candidates.md","Score Sourcing Candidate")</f>
        <v/>
      </c>
      <c r="D131" s="16">
        <f>HYPERLINK('Link Config'!$B$2&amp;"plugins/vc/alludium/documents/origination/origination-source-strategy-guide.md","Origination Source Strategy Guide (vc.document.origination_source_strategy_guide)")</f>
        <v/>
      </c>
      <c r="E131" s="15" t="inlineStr">
        <is>
          <t>methodology</t>
        </is>
      </c>
      <c r="F131" s="15" t="inlineStr"/>
    </row>
    <row r="132" ht="18" customHeight="1" s="12">
      <c r="A132" s="15" t="inlineStr">
        <is>
          <t>Origination Pipeline</t>
        </is>
      </c>
      <c r="B132" s="15" t="inlineStr">
        <is>
          <t>Initial Screen</t>
        </is>
      </c>
      <c r="C132" s="16">
        <f>HYPERLINK('Link Config'!$B$2&amp;"plugins/vc/tasks/score-sourcing-candidates.md","Score Sourcing Candidate")</f>
        <v/>
      </c>
      <c r="D132" s="16">
        <f>HYPERLINK('Link Config'!$B$2&amp;"plugins/vc/alludium/documents/shared/template-use-guidance.md","Template Use Guidance (vc.document.template_use_guidance)")</f>
        <v/>
      </c>
      <c r="E132" s="15" t="inlineStr">
        <is>
          <t>operating_guidance</t>
        </is>
      </c>
      <c r="F132" s="15" t="inlineStr"/>
    </row>
    <row r="133" ht="18" customHeight="1" s="12">
      <c r="A133" s="15" t="inlineStr">
        <is>
          <t>Origination Pipeline</t>
        </is>
      </c>
      <c r="B133" s="15" t="inlineStr">
        <is>
          <t>Initial Screen</t>
        </is>
      </c>
      <c r="C133" s="16">
        <f>HYPERLINK('Link Config'!$B$2&amp;"plugins/vc/tasks/screen-identified-candidates.md","Screen Identified Candidate")</f>
        <v/>
      </c>
      <c r="D133" s="16">
        <f>HYPERLINK('Link Config'!$B$2&amp;"plugins/vc/alludium/documents/origination/sourcing-scoring-rubric.md","Sourcing Scoring Rubric (vc.document.sourcing_scoring_rubric)")</f>
        <v/>
      </c>
      <c r="E133" s="15" t="inlineStr">
        <is>
          <t>methodology</t>
        </is>
      </c>
      <c r="F133" s="15" t="inlineStr">
        <is>
          <t>identified_screen_artifact_id</t>
        </is>
      </c>
    </row>
    <row r="134" ht="18" customHeight="1" s="12">
      <c r="A134" s="15" t="inlineStr">
        <is>
          <t>Origination Pipeline</t>
        </is>
      </c>
      <c r="B134" s="15" t="inlineStr">
        <is>
          <t>Initial Screen</t>
        </is>
      </c>
      <c r="C134" s="16">
        <f>HYPERLINK('Link Config'!$B$2&amp;"plugins/vc/tasks/screen-identified-candidates.md","Screen Identified Candidate")</f>
        <v/>
      </c>
      <c r="D134" s="16">
        <f>HYPERLINK('Link Config'!$B$2&amp;"plugins/vc/alludium/documents/origination/origination-source-strategy-guide.md","Origination Source Strategy Guide (vc.document.origination_source_strategy_guide)")</f>
        <v/>
      </c>
      <c r="E134" s="15" t="inlineStr">
        <is>
          <t>methodology</t>
        </is>
      </c>
      <c r="F134" s="15" t="inlineStr"/>
    </row>
    <row r="135" ht="18" customHeight="1" s="12">
      <c r="A135" s="15" t="inlineStr">
        <is>
          <t>Origination Pipeline</t>
        </is>
      </c>
      <c r="B135" s="15" t="inlineStr">
        <is>
          <t>Initial Screen</t>
        </is>
      </c>
      <c r="C135" s="16">
        <f>HYPERLINK('Link Config'!$B$2&amp;"plugins/vc/tasks/screen-identified-candidates.md","Screen Identified Candidate")</f>
        <v/>
      </c>
      <c r="D135" s="16">
        <f>HYPERLINK('Link Config'!$B$2&amp;"plugins/vc/alludium/documents/origination/dedupe-novelty-policy.md","Dedupe And Novelty Policy (vc.document.dedupe_novelty_policy)")</f>
        <v/>
      </c>
      <c r="E135" s="15" t="inlineStr">
        <is>
          <t>policy</t>
        </is>
      </c>
      <c r="F135" s="15" t="inlineStr"/>
    </row>
    <row r="136" ht="18" customHeight="1" s="12">
      <c r="A136" s="15" t="inlineStr">
        <is>
          <t>Origination Pipeline</t>
        </is>
      </c>
      <c r="B136" s="15" t="inlineStr">
        <is>
          <t>Initial Screen</t>
        </is>
      </c>
      <c r="C136" s="16">
        <f>HYPERLINK('Link Config'!$B$2&amp;"plugins/vc/tasks/screen-identified-candidates.md","Screen Identified Candidate")</f>
        <v/>
      </c>
      <c r="D136" s="16">
        <f>HYPERLINK('Link Config'!$B$2&amp;"plugins/vc/alludium/documents/shared/template-use-guidance.md","Template Use Guidance (vc.document.template_use_guidance)")</f>
        <v/>
      </c>
      <c r="E136" s="15" t="inlineStr">
        <is>
          <t>operating_guidance</t>
        </is>
      </c>
      <c r="F136" s="15" t="inlineStr"/>
    </row>
    <row r="137" ht="18" customHeight="1" s="12">
      <c r="A137" s="15" t="inlineStr">
        <is>
          <t>Origination Pipeline</t>
        </is>
      </c>
      <c r="B137" s="15" t="inlineStr">
        <is>
          <t>Prioritize</t>
        </is>
      </c>
      <c r="C137" s="16">
        <f>HYPERLINK('Link Config'!$B$2&amp;"plugins/vc/tasks/run-deal-fit-analysis.md","Run Deal Fit Analysis")</f>
        <v/>
      </c>
      <c r="D137" s="16">
        <f>HYPERLINK('Link Config'!$B$2&amp;"plugins/vc/alludium/documents/origination/sourcing-scoring-rubric.md","Sourcing Scoring Rubric (vc.document.sourcing_scoring_rubric)")</f>
        <v/>
      </c>
      <c r="E137" s="15" t="inlineStr">
        <is>
          <t>methodology</t>
        </is>
      </c>
      <c r="F137" s="15" t="inlineStr">
        <is>
          <t>deal_fit_artifact_id</t>
        </is>
      </c>
    </row>
    <row r="138" ht="18" customHeight="1" s="12">
      <c r="A138" s="15" t="inlineStr">
        <is>
          <t>Origination Pipeline</t>
        </is>
      </c>
      <c r="B138" s="15" t="inlineStr">
        <is>
          <t>Prioritize</t>
        </is>
      </c>
      <c r="C138" s="16">
        <f>HYPERLINK('Link Config'!$B$2&amp;"plugins/vc/tasks/run-deal-fit-analysis.md","Run Deal Fit Analysis")</f>
        <v/>
      </c>
      <c r="D138" s="16">
        <f>HYPERLINK('Link Config'!$B$2&amp;"plugins/vc/alludium/documents/shared/investment-screening-framework.md","Investment Screening Framework (vc.document.investment_screening_framework)")</f>
        <v/>
      </c>
      <c r="E138" s="15" t="inlineStr">
        <is>
          <t>methodology</t>
        </is>
      </c>
      <c r="F138" s="15" t="inlineStr"/>
    </row>
    <row r="139" ht="18" customHeight="1" s="12">
      <c r="A139" s="15" t="inlineStr">
        <is>
          <t>Origination Pipeline</t>
        </is>
      </c>
      <c r="B139" s="15" t="inlineStr">
        <is>
          <t>Prioritize</t>
        </is>
      </c>
      <c r="C139" s="16">
        <f>HYPERLINK('Link Config'!$B$2&amp;"plugins/vc/tasks/run-deal-fit-analysis.md","Run Deal Fit Analysis")</f>
        <v/>
      </c>
      <c r="D139" s="16">
        <f>HYPERLINK('Link Config'!$B$2&amp;"plugins/vc/alludium/documents/shared/template-use-guidance.md","Template Use Guidance (vc.document.template_use_guidance)")</f>
        <v/>
      </c>
      <c r="E139" s="15" t="inlineStr">
        <is>
          <t>operating_guidance</t>
        </is>
      </c>
      <c r="F139" s="15" t="inlineStr"/>
    </row>
    <row r="140" ht="18" customHeight="1" s="12">
      <c r="A140" s="15" t="inlineStr">
        <is>
          <t>Origination Pipeline</t>
        </is>
      </c>
      <c r="B140" s="15" t="inlineStr">
        <is>
          <t>Prioritize</t>
        </is>
      </c>
      <c r="C140" s="16">
        <f>HYPERLINK('Link Config'!$B$2&amp;"plugins/vc/tasks/screen-active-sourcing-candidates.md","Screen Active Sourcing Candidate")</f>
        <v/>
      </c>
      <c r="D140" s="16">
        <f>HYPERLINK('Link Config'!$B$2&amp;"plugins/vc/alludium/documents/origination/sourcing-scoring-rubric.md","Sourcing Scoring Rubric (vc.document.sourcing_scoring_rubric)")</f>
        <v/>
      </c>
      <c r="E140" s="15" t="inlineStr">
        <is>
          <t>methodology</t>
        </is>
      </c>
      <c r="F140" s="15" t="inlineStr">
        <is>
          <t>screening_artifact_id</t>
        </is>
      </c>
    </row>
    <row r="141" ht="18" customHeight="1" s="12">
      <c r="A141" s="15" t="inlineStr">
        <is>
          <t>Origination Pipeline</t>
        </is>
      </c>
      <c r="B141" s="15" t="inlineStr">
        <is>
          <t>Prioritize</t>
        </is>
      </c>
      <c r="C141" s="16">
        <f>HYPERLINK('Link Config'!$B$2&amp;"plugins/vc/tasks/screen-active-sourcing-candidates.md","Screen Active Sourcing Candidate")</f>
        <v/>
      </c>
      <c r="D141" s="16">
        <f>HYPERLINK('Link Config'!$B$2&amp;"plugins/vc/alludium/documents/origination/origination-source-strategy-guide.md","Origination Source Strategy Guide (vc.document.origination_source_strategy_guide)")</f>
        <v/>
      </c>
      <c r="E141" s="15" t="inlineStr">
        <is>
          <t>methodology</t>
        </is>
      </c>
      <c r="F141" s="15" t="inlineStr"/>
    </row>
    <row r="142" ht="18" customHeight="1" s="12">
      <c r="A142" s="15" t="inlineStr">
        <is>
          <t>Origination Pipeline</t>
        </is>
      </c>
      <c r="B142" s="15" t="inlineStr">
        <is>
          <t>Prioritize</t>
        </is>
      </c>
      <c r="C142" s="16">
        <f>HYPERLINK('Link Config'!$B$2&amp;"plugins/vc/tasks/screen-active-sourcing-candidates.md","Screen Active Sourcing Candidate")</f>
        <v/>
      </c>
      <c r="D142" s="16">
        <f>HYPERLINK('Link Config'!$B$2&amp;"plugins/vc/alludium/documents/origination/dedupe-novelty-policy.md","Dedupe And Novelty Policy (vc.document.dedupe_novelty_policy)")</f>
        <v/>
      </c>
      <c r="E142" s="15" t="inlineStr">
        <is>
          <t>policy</t>
        </is>
      </c>
      <c r="F142" s="15" t="inlineStr"/>
    </row>
    <row r="143" ht="18" customHeight="1" s="12">
      <c r="A143" s="15" t="inlineStr">
        <is>
          <t>Origination Pipeline</t>
        </is>
      </c>
      <c r="B143" s="15" t="inlineStr">
        <is>
          <t>Prioritize</t>
        </is>
      </c>
      <c r="C143" s="16">
        <f>HYPERLINK('Link Config'!$B$2&amp;"plugins/vc/tasks/screen-active-sourcing-candidates.md","Screen Active Sourcing Candidate")</f>
        <v/>
      </c>
      <c r="D143" s="16">
        <f>HYPERLINK('Link Config'!$B$2&amp;"plugins/vc/alludium/documents/shared/template-use-guidance.md","Template Use Guidance (vc.document.template_use_guidance)")</f>
        <v/>
      </c>
      <c r="E143" s="15" t="inlineStr">
        <is>
          <t>operating_guidance</t>
        </is>
      </c>
      <c r="F143" s="15" t="inlineStr"/>
    </row>
    <row r="144" ht="18" customHeight="1" s="12">
      <c r="A144" s="15" t="inlineStr">
        <is>
          <t>Origination Pipeline</t>
        </is>
      </c>
      <c r="B144" s="15" t="inlineStr">
        <is>
          <t>Prioritize</t>
        </is>
      </c>
      <c r="C144" s="16">
        <f>HYPERLINK('Link Config'!$B$2&amp;"plugins/vc/tasks/review-unicorn-signature.md","Review Unicorn Signature")</f>
        <v/>
      </c>
      <c r="D144" s="16">
        <f>HYPERLINK('Link Config'!$B$2&amp;"plugins/vc/alludium/documents/origination/sourcing-scoring-rubric.md","Sourcing Scoring Rubric (vc.document.sourcing_scoring_rubric)")</f>
        <v/>
      </c>
      <c r="E144" s="15" t="inlineStr">
        <is>
          <t>methodology</t>
        </is>
      </c>
      <c r="F144" s="15" t="inlineStr">
        <is>
          <t>unicorn_signature_artifact_id</t>
        </is>
      </c>
    </row>
    <row r="145" ht="18" customHeight="1" s="12">
      <c r="A145" s="15" t="inlineStr">
        <is>
          <t>Origination Pipeline</t>
        </is>
      </c>
      <c r="B145" s="15" t="inlineStr">
        <is>
          <t>Prioritize</t>
        </is>
      </c>
      <c r="C145" s="16">
        <f>HYPERLINK('Link Config'!$B$2&amp;"plugins/vc/tasks/review-unicorn-signature.md","Review Unicorn Signature")</f>
        <v/>
      </c>
      <c r="D145" s="16">
        <f>HYPERLINK('Link Config'!$B$2&amp;"plugins/vc/alludium/documents/origination/sourcing-ic-summary-template.md","Prospect Summary Template (vc.document.sourcing_ic_summary_template)")</f>
        <v/>
      </c>
      <c r="E145" s="15" t="inlineStr">
        <is>
          <t>operating_guidance</t>
        </is>
      </c>
      <c r="F145" s="15" t="inlineStr"/>
    </row>
    <row r="146" ht="18" customHeight="1" s="12">
      <c r="A146" s="15" t="inlineStr">
        <is>
          <t>Origination Pipeline</t>
        </is>
      </c>
      <c r="B146" s="15" t="inlineStr">
        <is>
          <t>Prioritize</t>
        </is>
      </c>
      <c r="C146" s="16">
        <f>HYPERLINK('Link Config'!$B$2&amp;"plugins/vc/tasks/review-unicorn-signature.md","Review Unicorn Signature")</f>
        <v/>
      </c>
      <c r="D146" s="16">
        <f>HYPERLINK('Link Config'!$B$2&amp;"plugins/vc/alludium/documents/shared/template-use-guidance.md","Template Use Guidance (vc.document.template_use_guidance)")</f>
        <v/>
      </c>
      <c r="E146" s="15" t="inlineStr">
        <is>
          <t>operating_guidance</t>
        </is>
      </c>
      <c r="F146" s="15" t="inlineStr"/>
    </row>
    <row r="147" ht="18" customHeight="1" s="12">
      <c r="A147" s="15" t="inlineStr">
        <is>
          <t>Origination Pipeline</t>
        </is>
      </c>
      <c r="B147" s="15" t="inlineStr">
        <is>
          <t>Outreach Prep</t>
        </is>
      </c>
      <c r="C147" s="16">
        <f>HYPERLINK('Link Config'!$B$2&amp;"plugins/vc/tasks/prepare-sourcing-ic-summary.md","Prepare Prospect Summary")</f>
        <v/>
      </c>
      <c r="D147" s="16">
        <f>HYPERLINK('Link Config'!$B$2&amp;"plugins/vc/alludium/documents/origination/sourcing-ic-summary-template.md","Prospect Summary Template (vc.document.sourcing_ic_summary_template)")</f>
        <v/>
      </c>
      <c r="E147" s="15" t="inlineStr">
        <is>
          <t>output_template</t>
        </is>
      </c>
      <c r="F147" s="15" t="inlineStr">
        <is>
          <t>prospect_summary_artifact_id</t>
        </is>
      </c>
    </row>
    <row r="148" ht="18" customHeight="1" s="12">
      <c r="A148" s="15" t="inlineStr">
        <is>
          <t>Origination Pipeline</t>
        </is>
      </c>
      <c r="B148" s="15" t="inlineStr">
        <is>
          <t>Outreach Prep</t>
        </is>
      </c>
      <c r="C148" s="16">
        <f>HYPERLINK('Link Config'!$B$2&amp;"plugins/vc/tasks/prepare-sourcing-ic-summary.md","Prepare Prospect Summary")</f>
        <v/>
      </c>
      <c r="D148" s="16">
        <f>HYPERLINK('Link Config'!$B$2&amp;"plugins/vc/alludium/documents/origination/origination-source-strategy-guide.md","Origination Source Strategy Guide (vc.document.origination_source_strategy_guide)")</f>
        <v/>
      </c>
      <c r="E148" s="15" t="inlineStr">
        <is>
          <t>methodology</t>
        </is>
      </c>
      <c r="F148" s="15" t="inlineStr"/>
    </row>
    <row r="149" ht="18" customHeight="1" s="12">
      <c r="A149" s="15" t="inlineStr">
        <is>
          <t>Origination Pipeline</t>
        </is>
      </c>
      <c r="B149" s="15" t="inlineStr">
        <is>
          <t>Outreach Prep</t>
        </is>
      </c>
      <c r="C149" s="16">
        <f>HYPERLINK('Link Config'!$B$2&amp;"plugins/vc/tasks/prepare-sourcing-ic-summary.md","Prepare Prospect Summary")</f>
        <v/>
      </c>
      <c r="D149" s="16">
        <f>HYPERLINK('Link Config'!$B$2&amp;"plugins/vc/alludium/documents/shared/evidence-citation-style-guide.md","Evidence And Citation Style Guide (vc.document.evidence_citation_style_guide)")</f>
        <v/>
      </c>
      <c r="E149" s="15" t="inlineStr">
        <is>
          <t>style_guide</t>
        </is>
      </c>
      <c r="F149" s="15" t="inlineStr"/>
    </row>
    <row r="150" ht="18" customHeight="1" s="12">
      <c r="A150" s="15" t="inlineStr">
        <is>
          <t>Origination Pipeline</t>
        </is>
      </c>
      <c r="B150" s="15" t="inlineStr">
        <is>
          <t>Outreach Prep</t>
        </is>
      </c>
      <c r="C150" s="16">
        <f>HYPERLINK('Link Config'!$B$2&amp;"plugins/vc/tasks/prepare-sourcing-ic-summary.md","Prepare Prospect Summary")</f>
        <v/>
      </c>
      <c r="D150" s="16">
        <f>HYPERLINK('Link Config'!$B$2&amp;"plugins/vc/alludium/documents/shared/template-use-guidance.md","Template Use Guidance (vc.document.template_use_guidance)")</f>
        <v/>
      </c>
      <c r="E150" s="15" t="inlineStr">
        <is>
          <t>operating_guidance</t>
        </is>
      </c>
      <c r="F150" s="15" t="inlineStr"/>
    </row>
    <row r="151" ht="18" customHeight="1" s="12">
      <c r="A151" s="15" t="inlineStr">
        <is>
          <t>Origination Pipeline</t>
        </is>
      </c>
      <c r="B151" s="15" t="inlineStr">
        <is>
          <t>Outreach Prep</t>
        </is>
      </c>
      <c r="C151" s="16">
        <f>HYPERLINK('Link Config'!$B$2&amp;"plugins/vc/tasks/prepare-outreach-draft-queue.md","Prepare Outreach Draft Queue")</f>
        <v/>
      </c>
      <c r="D151" s="16">
        <f>HYPERLINK('Link Config'!$B$2&amp;"plugins/vc/alludium/documents/origination/outreach-queue-template.md","Outreach Queue Template (vc.document.outreach_queue_template)")</f>
        <v/>
      </c>
      <c r="E151" s="15" t="inlineStr">
        <is>
          <t>output_template</t>
        </is>
      </c>
      <c r="F151" s="15" t="inlineStr">
        <is>
          <t>outreach_queue_artifact_id</t>
        </is>
      </c>
    </row>
    <row r="152" ht="18" customHeight="1" s="12">
      <c r="A152" s="15" t="inlineStr">
        <is>
          <t>Origination Pipeline</t>
        </is>
      </c>
      <c r="B152" s="15" t="inlineStr">
        <is>
          <t>Outreach Prep</t>
        </is>
      </c>
      <c r="C152" s="16">
        <f>HYPERLINK('Link Config'!$B$2&amp;"plugins/vc/tasks/prepare-outreach-draft-queue.md","Prepare Outreach Draft Queue")</f>
        <v/>
      </c>
      <c r="D152" s="16">
        <f>HYPERLINK('Link Config'!$B$2&amp;"plugins/vc/alludium/documents/shared/template-use-guidance.md","Template Use Guidance (vc.document.template_use_guidance)")</f>
        <v/>
      </c>
      <c r="E152" s="15" t="inlineStr">
        <is>
          <t>operating_guidance</t>
        </is>
      </c>
      <c r="F152" s="15" t="inlineStr"/>
    </row>
    <row r="153" ht="18" customHeight="1" s="12">
      <c r="A153" s="15" t="inlineStr">
        <is>
          <t>Origination Pipeline</t>
        </is>
      </c>
      <c r="B153" s="15" t="inlineStr">
        <is>
          <t>Contact Attempts</t>
        </is>
      </c>
      <c r="C153" s="16">
        <f>HYPERLINK('Link Config'!$B$2&amp;"plugins/vc/tasks/record-linkedin-connection-attempt.md","Record LinkedIn Connection Attempt")</f>
        <v/>
      </c>
      <c r="D153" s="16">
        <f>HYPERLINK('Link Config'!$B$2&amp;"plugins/vc/alludium/documents/origination/outreach-queue-template.md","Outreach Queue Template (vc.document.outreach_queue_template)")</f>
        <v/>
      </c>
      <c r="E153" s="15" t="inlineStr">
        <is>
          <t>output_template</t>
        </is>
      </c>
      <c r="F153" s="15" t="inlineStr">
        <is>
          <t>connection_record_artifact_id</t>
        </is>
      </c>
    </row>
    <row r="154" ht="18" customHeight="1" s="12">
      <c r="A154" s="15" t="inlineStr">
        <is>
          <t>Origination Pipeline</t>
        </is>
      </c>
      <c r="B154" s="15" t="inlineStr">
        <is>
          <t>Contact Attempts</t>
        </is>
      </c>
      <c r="C154" s="16">
        <f>HYPERLINK('Link Config'!$B$2&amp;"plugins/vc/tasks/record-linkedin-connection-attempt.md","Record LinkedIn Connection Attempt")</f>
        <v/>
      </c>
      <c r="D154" s="16">
        <f>HYPERLINK('Link Config'!$B$2&amp;"plugins/vc/alludium/documents/shared/template-use-guidance.md","Template Use Guidance (vc.document.template_use_guidance)")</f>
        <v/>
      </c>
      <c r="E154" s="15" t="inlineStr">
        <is>
          <t>operating_guidance</t>
        </is>
      </c>
      <c r="F154" s="15" t="inlineStr"/>
    </row>
    <row r="155" ht="18" customHeight="1" s="12">
      <c r="A155" s="15" t="inlineStr">
        <is>
          <t>Origination Pipeline</t>
        </is>
      </c>
      <c r="B155" s="15" t="inlineStr">
        <is>
          <t>Contact Attempts</t>
        </is>
      </c>
      <c r="C155" s="16">
        <f>HYPERLINK('Link Config'!$B$2&amp;"plugins/vc/tasks/prepare-initial-linkedin-reachout.md","Prepare Initial LinkedIn Reachout")</f>
        <v/>
      </c>
      <c r="D155" s="16">
        <f>HYPERLINK('Link Config'!$B$2&amp;"plugins/vc/alludium/documents/origination/outreach-queue-template.md","Outreach Queue Template (vc.document.outreach_queue_template)")</f>
        <v/>
      </c>
      <c r="E155" s="15" t="inlineStr">
        <is>
          <t>output_template</t>
        </is>
      </c>
      <c r="F155" s="15" t="inlineStr">
        <is>
          <t>initial_linkedin_reachout_artifact_id</t>
        </is>
      </c>
    </row>
    <row r="156" ht="18" customHeight="1" s="12">
      <c r="A156" s="15" t="inlineStr">
        <is>
          <t>Origination Pipeline</t>
        </is>
      </c>
      <c r="B156" s="15" t="inlineStr">
        <is>
          <t>Contact Attempts</t>
        </is>
      </c>
      <c r="C156" s="16">
        <f>HYPERLINK('Link Config'!$B$2&amp;"plugins/vc/tasks/prepare-initial-linkedin-reachout.md","Prepare Initial LinkedIn Reachout")</f>
        <v/>
      </c>
      <c r="D156" s="16">
        <f>HYPERLINK('Link Config'!$B$2&amp;"plugins/vc/alludium/documents/origination/origination-source-strategy-guide.md","Origination Source Strategy Guide (vc.document.origination_source_strategy_guide)")</f>
        <v/>
      </c>
      <c r="E156" s="15" t="inlineStr">
        <is>
          <t>methodology</t>
        </is>
      </c>
      <c r="F156" s="15" t="inlineStr"/>
    </row>
    <row r="157" ht="18" customHeight="1" s="12">
      <c r="A157" s="15" t="inlineStr">
        <is>
          <t>Origination Pipeline</t>
        </is>
      </c>
      <c r="B157" s="15" t="inlineStr">
        <is>
          <t>Contact Attempts</t>
        </is>
      </c>
      <c r="C157" s="16">
        <f>HYPERLINK('Link Config'!$B$2&amp;"plugins/vc/tasks/prepare-initial-linkedin-reachout.md","Prepare Initial LinkedIn Reachout")</f>
        <v/>
      </c>
      <c r="D157" s="16">
        <f>HYPERLINK('Link Config'!$B$2&amp;"plugins/vc/alludium/documents/shared/template-use-guidance.md","Template Use Guidance (vc.document.template_use_guidance)")</f>
        <v/>
      </c>
      <c r="E157" s="15" t="inlineStr">
        <is>
          <t>operating_guidance</t>
        </is>
      </c>
      <c r="F157" s="15" t="inlineStr"/>
    </row>
    <row r="158" ht="18" customHeight="1" s="12">
      <c r="A158" s="15" t="inlineStr">
        <is>
          <t>Origination Pipeline</t>
        </is>
      </c>
      <c r="B158" s="15" t="inlineStr">
        <is>
          <t>Contact Attempts</t>
        </is>
      </c>
      <c r="C158" s="16">
        <f>HYPERLINK('Link Config'!$B$2&amp;"plugins/vc/tasks/prepare-second-reachout-email.md","Prepare Second Reachout Email")</f>
        <v/>
      </c>
      <c r="D158" s="16">
        <f>HYPERLINK('Link Config'!$B$2&amp;"plugins/vc/alludium/documents/origination/outreach-queue-template.md","Outreach Queue Template (vc.document.outreach_queue_template)")</f>
        <v/>
      </c>
      <c r="E158" s="15" t="inlineStr">
        <is>
          <t>output_template</t>
        </is>
      </c>
      <c r="F158" s="15" t="inlineStr">
        <is>
          <t>second_reachout_email_artifact_id</t>
        </is>
      </c>
    </row>
    <row r="159" ht="18" customHeight="1" s="12">
      <c r="A159" s="15" t="inlineStr">
        <is>
          <t>Origination Pipeline</t>
        </is>
      </c>
      <c r="B159" s="15" t="inlineStr">
        <is>
          <t>Contact Attempts</t>
        </is>
      </c>
      <c r="C159" s="16">
        <f>HYPERLINK('Link Config'!$B$2&amp;"plugins/vc/tasks/prepare-second-reachout-email.md","Prepare Second Reachout Email")</f>
        <v/>
      </c>
      <c r="D159" s="16">
        <f>HYPERLINK('Link Config'!$B$2&amp;"plugins/vc/alludium/documents/origination/origination-source-strategy-guide.md","Origination Source Strategy Guide (vc.document.origination_source_strategy_guide)")</f>
        <v/>
      </c>
      <c r="E159" s="15" t="inlineStr">
        <is>
          <t>methodology</t>
        </is>
      </c>
      <c r="F159" s="15" t="inlineStr"/>
    </row>
    <row r="160" ht="18" customHeight="1" s="12">
      <c r="A160" s="15" t="inlineStr">
        <is>
          <t>Origination Pipeline</t>
        </is>
      </c>
      <c r="B160" s="15" t="inlineStr">
        <is>
          <t>Contact Attempts</t>
        </is>
      </c>
      <c r="C160" s="16">
        <f>HYPERLINK('Link Config'!$B$2&amp;"plugins/vc/tasks/prepare-second-reachout-email.md","Prepare Second Reachout Email")</f>
        <v/>
      </c>
      <c r="D160" s="16">
        <f>HYPERLINK('Link Config'!$B$2&amp;"plugins/vc/alludium/documents/shared/template-use-guidance.md","Template Use Guidance (vc.document.template_use_guidance)")</f>
        <v/>
      </c>
      <c r="E160" s="15" t="inlineStr">
        <is>
          <t>operating_guidance</t>
        </is>
      </c>
      <c r="F160" s="15" t="inlineStr"/>
    </row>
    <row r="161" ht="18" customHeight="1" s="12">
      <c r="A161" s="15" t="inlineStr">
        <is>
          <t>Origination Pipeline</t>
        </is>
      </c>
      <c r="B161" s="15" t="inlineStr">
        <is>
          <t>Founder Engagement Screen</t>
        </is>
      </c>
      <c r="C161" s="16">
        <f>HYPERLINK('Link Config'!$B$2&amp;"plugins/vc/tasks/screen-founder-connected-candidates.md","Screen Founder-Connected Candidate")</f>
        <v/>
      </c>
      <c r="D161" s="16">
        <f>HYPERLINK('Link Config'!$B$2&amp;"plugins/vc/alludium/documents/origination/sourcing-scoring-rubric.md","Sourcing Scoring Rubric (vc.document.sourcing_scoring_rubric)")</f>
        <v/>
      </c>
      <c r="E161" s="15" t="inlineStr">
        <is>
          <t>methodology</t>
        </is>
      </c>
      <c r="F161" s="15" t="inlineStr">
        <is>
          <t>founder_connected_screen_artifact_id</t>
        </is>
      </c>
    </row>
    <row r="162" ht="18" customHeight="1" s="12">
      <c r="A162" s="15" t="inlineStr">
        <is>
          <t>Origination Pipeline</t>
        </is>
      </c>
      <c r="B162" s="15" t="inlineStr">
        <is>
          <t>Founder Engagement Screen</t>
        </is>
      </c>
      <c r="C162" s="16">
        <f>HYPERLINK('Link Config'!$B$2&amp;"plugins/vc/tasks/screen-founder-connected-candidates.md","Screen Founder-Connected Candidate")</f>
        <v/>
      </c>
      <c r="D162" s="16">
        <f>HYPERLINK('Link Config'!$B$2&amp;"plugins/vc/alludium/documents/origination/outreach-queue-template.md","Outreach Queue Template (vc.document.outreach_queue_template)")</f>
        <v/>
      </c>
      <c r="E162" s="15" t="inlineStr">
        <is>
          <t>output_template</t>
        </is>
      </c>
      <c r="F162" s="15" t="inlineStr"/>
    </row>
    <row r="163" ht="18" customHeight="1" s="12">
      <c r="A163" s="15" t="inlineStr">
        <is>
          <t>Origination Pipeline</t>
        </is>
      </c>
      <c r="B163" s="15" t="inlineStr">
        <is>
          <t>Founder Engagement Screen</t>
        </is>
      </c>
      <c r="C163" s="16">
        <f>HYPERLINK('Link Config'!$B$2&amp;"plugins/vc/tasks/screen-founder-connected-candidates.md","Screen Founder-Connected Candidate")</f>
        <v/>
      </c>
      <c r="D163" s="16">
        <f>HYPERLINK('Link Config'!$B$2&amp;"plugins/vc/alludium/documents/origination/origination-source-strategy-guide.md","Origination Source Strategy Guide (vc.document.origination_source_strategy_guide)")</f>
        <v/>
      </c>
      <c r="E163" s="15" t="inlineStr">
        <is>
          <t>methodology</t>
        </is>
      </c>
      <c r="F163" s="15" t="inlineStr"/>
    </row>
    <row r="164" ht="18" customHeight="1" s="12">
      <c r="A164" s="15" t="inlineStr">
        <is>
          <t>Origination Pipeline</t>
        </is>
      </c>
      <c r="B164" s="15" t="inlineStr">
        <is>
          <t>Founder Engagement Screen</t>
        </is>
      </c>
      <c r="C164" s="16">
        <f>HYPERLINK('Link Config'!$B$2&amp;"plugins/vc/tasks/screen-founder-connected-candidates.md","Screen Founder-Connected Candidate")</f>
        <v/>
      </c>
      <c r="D164" s="16">
        <f>HYPERLINK('Link Config'!$B$2&amp;"plugins/vc/alludium/documents/shared/template-use-guidance.md","Template Use Guidance (vc.document.template_use_guidance)")</f>
        <v/>
      </c>
      <c r="E164" s="15" t="inlineStr">
        <is>
          <t>operating_guidance</t>
        </is>
      </c>
      <c r="F164" s="15" t="inlineStr"/>
    </row>
    <row r="165" ht="18" customHeight="1" s="12">
      <c r="A165" s="15" t="inlineStr">
        <is>
          <t>Origination Pipeline</t>
        </is>
      </c>
      <c r="B165" s="15" t="inlineStr">
        <is>
          <t>Founder Engagement Screen</t>
        </is>
      </c>
      <c r="C165" s="16">
        <f>HYPERLINK('Link Config'!$B$2&amp;"plugins/vc/tasks/review-outreach-outcome.md","Review Outreach Outcome")</f>
        <v/>
      </c>
      <c r="D165" s="16">
        <f>HYPERLINK('Link Config'!$B$2&amp;"plugins/vc/alludium/documents/origination/promotion-package-template.md","Promotion Package Template (vc.document.promotion_package_template)")</f>
        <v/>
      </c>
      <c r="E165" s="15" t="inlineStr">
        <is>
          <t>output_template</t>
        </is>
      </c>
      <c r="F165" s="15" t="inlineStr">
        <is>
          <t>outreach_outcome_artifact_id</t>
        </is>
      </c>
    </row>
    <row r="166" ht="18" customHeight="1" s="12">
      <c r="A166" s="15" t="inlineStr">
        <is>
          <t>Origination Pipeline</t>
        </is>
      </c>
      <c r="B166" s="15" t="inlineStr">
        <is>
          <t>Founder Engagement Screen</t>
        </is>
      </c>
      <c r="C166" s="16">
        <f>HYPERLINK('Link Config'!$B$2&amp;"plugins/vc/tasks/review-outreach-outcome.md","Review Outreach Outcome")</f>
        <v/>
      </c>
      <c r="D166" s="16">
        <f>HYPERLINK('Link Config'!$B$2&amp;"plugins/vc/alludium/documents/origination/origination-source-strategy-guide.md","Origination Source Strategy Guide (vc.document.origination_source_strategy_guide)")</f>
        <v/>
      </c>
      <c r="E166" s="15" t="inlineStr">
        <is>
          <t>methodology</t>
        </is>
      </c>
      <c r="F166" s="15" t="inlineStr"/>
    </row>
    <row r="167" ht="18" customHeight="1" s="12">
      <c r="A167" s="15" t="inlineStr">
        <is>
          <t>Origination Pipeline</t>
        </is>
      </c>
      <c r="B167" s="15" t="inlineStr">
        <is>
          <t>Founder Engagement Screen</t>
        </is>
      </c>
      <c r="C167" s="16">
        <f>HYPERLINK('Link Config'!$B$2&amp;"plugins/vc/tasks/review-outreach-outcome.md","Review Outreach Outcome")</f>
        <v/>
      </c>
      <c r="D167" s="16">
        <f>HYPERLINK('Link Config'!$B$2&amp;"plugins/vc/alludium/documents/shared/template-use-guidance.md","Template Use Guidance (vc.document.template_use_guidance)")</f>
        <v/>
      </c>
      <c r="E167" s="15" t="inlineStr">
        <is>
          <t>operating_guidance</t>
        </is>
      </c>
      <c r="F167" s="15" t="inlineStr"/>
    </row>
    <row r="168" ht="18" customHeight="1" s="12">
      <c r="A168" s="15" t="inlineStr">
        <is>
          <t>Origination Pipeline</t>
        </is>
      </c>
      <c r="B168" s="15" t="inlineStr">
        <is>
          <t>Added To Deal Pipeline</t>
        </is>
      </c>
      <c r="C168" s="16">
        <f>HYPERLINK('Link Config'!$B$2&amp;"plugins/vc/tasks/promote-candidate-to-deal-room.md","Promote Candidate to Deal Pipeline")</f>
        <v/>
      </c>
      <c r="D168" s="16">
        <f>HYPERLINK('Link Config'!$B$2&amp;"plugins/vc/alludium/documents/origination/promotion-package-template.md","Promotion Package Template (vc.document.promotion_package_template)")</f>
        <v/>
      </c>
      <c r="E168" s="15" t="inlineStr">
        <is>
          <t>output_template</t>
        </is>
      </c>
      <c r="F168" s="15" t="inlineStr">
        <is>
          <t>promotion_package_artifact_id</t>
        </is>
      </c>
    </row>
    <row r="169" ht="18" customHeight="1" s="12">
      <c r="A169" s="15" t="inlineStr">
        <is>
          <t>Origination Pipeline</t>
        </is>
      </c>
      <c r="B169" s="15" t="inlineStr">
        <is>
          <t>Added To Deal Pipeline</t>
        </is>
      </c>
      <c r="C169" s="16">
        <f>HYPERLINK('Link Config'!$B$2&amp;"plugins/vc/tasks/promote-candidate-to-deal-room.md","Promote Candidate to Deal Pipeline")</f>
        <v/>
      </c>
      <c r="D169" s="16">
        <f>HYPERLINK('Link Config'!$B$2&amp;"plugins/vc/alludium/documents/origination/origination-source-strategy-guide.md","Origination Source Strategy Guide (vc.document.origination_source_strategy_guide)")</f>
        <v/>
      </c>
      <c r="E169" s="15" t="inlineStr">
        <is>
          <t>methodology</t>
        </is>
      </c>
      <c r="F169" s="15" t="inlineStr"/>
    </row>
    <row r="170" ht="18" customHeight="1" s="12">
      <c r="A170" s="15" t="inlineStr">
        <is>
          <t>Origination Pipeline</t>
        </is>
      </c>
      <c r="B170" s="15" t="inlineStr">
        <is>
          <t>Added To Deal Pipeline</t>
        </is>
      </c>
      <c r="C170" s="16">
        <f>HYPERLINK('Link Config'!$B$2&amp;"plugins/vc/tasks/promote-candidate-to-deal-room.md","Promote Candidate to Deal Pipeline")</f>
        <v/>
      </c>
      <c r="D170" s="16">
        <f>HYPERLINK('Link Config'!$B$2&amp;"plugins/vc/alludium/documents/shared/template-use-guidance.md","Template Use Guidance (vc.document.template_use_guidance)")</f>
        <v/>
      </c>
      <c r="E170" s="15" t="inlineStr">
        <is>
          <t>operating_guidance</t>
        </is>
      </c>
      <c r="F170" s="15" t="inlineStr"/>
    </row>
    <row r="171" ht="18" customHeight="1" s="12">
      <c r="A171" s="15" t="inlineStr">
        <is>
          <t>Investment Management</t>
        </is>
      </c>
      <c r="B171" s="15" t="inlineStr">
        <is>
          <t>Setup</t>
        </is>
      </c>
      <c r="C171" s="16">
        <f>HYPERLINK('Link Config'!$B$2&amp;"plugins/vc/tasks/capture-investment-management-handoff.md","Capture Investment Management Handoff")</f>
        <v/>
      </c>
      <c r="D171" s="16">
        <f>HYPERLINK('Link Config'!$B$2&amp;"plugins/vc/alludium/documents/shared/evidence-citation-style-guide.md","Evidence And Citation Style Guide (vc.document.evidence_citation_style_guide)")</f>
        <v/>
      </c>
      <c r="E171" s="15" t="inlineStr">
        <is>
          <t>style_guide</t>
        </is>
      </c>
      <c r="F171" s="15" t="inlineStr"/>
    </row>
    <row r="172" ht="18" customHeight="1" s="12">
      <c r="A172" s="15" t="inlineStr">
        <is>
          <t>Investment Management</t>
        </is>
      </c>
      <c r="B172" s="15" t="inlineStr">
        <is>
          <t>Setup</t>
        </is>
      </c>
      <c r="C172" s="16">
        <f>HYPERLINK('Link Config'!$B$2&amp;"plugins/vc/tasks/capture-investment-management-handoff.md","Capture Investment Management Handoff")</f>
        <v/>
      </c>
      <c r="D172" s="16">
        <f>HYPERLINK('Link Config'!$B$2&amp;"plugins/vc/alludium/documents/shared/template-use-guidance.md","Template Use Guidance (vc.document.template_use_guidance)")</f>
        <v/>
      </c>
      <c r="E172" s="15" t="inlineStr">
        <is>
          <t>operating_guidance</t>
        </is>
      </c>
      <c r="F172" s="15" t="inlineStr"/>
    </row>
    <row r="173" ht="18" customHeight="1" s="12">
      <c r="A173" s="15" t="inlineStr">
        <is>
          <t>Investment Management</t>
        </is>
      </c>
      <c r="B173" s="15" t="inlineStr">
        <is>
          <t>Formal Diligence</t>
        </is>
      </c>
      <c r="C173" s="16">
        <f>HYPERLINK('Link Config'!$B$2&amp;"plugins/vc/tasks/run-commercial-dd.md","Run Commercial DD")</f>
        <v/>
      </c>
      <c r="D173" s="16">
        <f>HYPERLINK('Link Config'!$B$2&amp;"plugins/vc/alludium/documents/deal-room/diligence-report-template.md","Diligence Report Template (vc.document.diligence_report_template)")</f>
        <v/>
      </c>
      <c r="E173" s="15" t="inlineStr">
        <is>
          <t>output_template</t>
        </is>
      </c>
      <c r="F173" s="15" t="inlineStr">
        <is>
          <t>commercial_dd_artifact_id</t>
        </is>
      </c>
    </row>
    <row r="174" ht="18" customHeight="1" s="12">
      <c r="A174" s="15" t="inlineStr">
        <is>
          <t>Investment Management</t>
        </is>
      </c>
      <c r="B174" s="15" t="inlineStr">
        <is>
          <t>Formal Diligence</t>
        </is>
      </c>
      <c r="C174" s="16">
        <f>HYPERLINK('Link Config'!$B$2&amp;"plugins/vc/tasks/run-commercial-dd.md","Run Commercial DD")</f>
        <v/>
      </c>
      <c r="D174" s="16">
        <f>HYPERLINK('Link Config'!$B$2&amp;"plugins/vc/alludium/documents/deal-room/formal-diligence-workstream-guide.md","Formal Diligence Workstream Guide (vc.document.formal_diligence_workstream_guide)")</f>
        <v/>
      </c>
      <c r="E174" s="15" t="inlineStr">
        <is>
          <t>methodology</t>
        </is>
      </c>
      <c r="F174" s="15" t="inlineStr"/>
    </row>
    <row r="175" ht="18" customHeight="1" s="12">
      <c r="A175" s="15" t="inlineStr">
        <is>
          <t>Investment Management</t>
        </is>
      </c>
      <c r="B175" s="15" t="inlineStr">
        <is>
          <t>Formal Diligence</t>
        </is>
      </c>
      <c r="C175" s="16">
        <f>HYPERLINK('Link Config'!$B$2&amp;"plugins/vc/tasks/run-commercial-dd.md","Run Commercial DD")</f>
        <v/>
      </c>
      <c r="D175" s="16">
        <f>HYPERLINK('Link Config'!$B$2&amp;"plugins/vc/alludium/documents/deal-room/formal-diligence-checklist.md","Formal Diligence Checklist (vc.document.formal_diligence_checklist)")</f>
        <v/>
      </c>
      <c r="E175" s="15" t="inlineStr">
        <is>
          <t>checklist</t>
        </is>
      </c>
      <c r="F175" s="15" t="inlineStr"/>
    </row>
    <row r="176" ht="18" customHeight="1" s="12">
      <c r="A176" s="15" t="inlineStr">
        <is>
          <t>Investment Management</t>
        </is>
      </c>
      <c r="B176" s="15" t="inlineStr">
        <is>
          <t>Formal Diligence</t>
        </is>
      </c>
      <c r="C176" s="16">
        <f>HYPERLINK('Link Config'!$B$2&amp;"plugins/vc/tasks/run-commercial-dd.md","Run Commercial DD")</f>
        <v/>
      </c>
      <c r="D176" s="16">
        <f>HYPERLINK('Link Config'!$B$2&amp;"plugins/vc/alludium/documents/shared/evidence-citation-style-guide.md","Evidence And Citation Style Guide (vc.document.evidence_citation_style_guide)")</f>
        <v/>
      </c>
      <c r="E176" s="15" t="inlineStr">
        <is>
          <t>style_guide</t>
        </is>
      </c>
      <c r="F176" s="15" t="inlineStr"/>
    </row>
    <row r="177" ht="18" customHeight="1" s="12">
      <c r="A177" s="15" t="inlineStr">
        <is>
          <t>Investment Management</t>
        </is>
      </c>
      <c r="B177" s="15" t="inlineStr">
        <is>
          <t>Formal Diligence</t>
        </is>
      </c>
      <c r="C177" s="16">
        <f>HYPERLINK('Link Config'!$B$2&amp;"plugins/vc/tasks/run-commercial-dd.md","Run Commercial DD")</f>
        <v/>
      </c>
      <c r="D177" s="16">
        <f>HYPERLINK('Link Config'!$B$2&amp;"plugins/vc/alludium/documents/shared/template-use-guidance.md","Template Use Guidance (vc.document.template_use_guidance)")</f>
        <v/>
      </c>
      <c r="E177" s="15" t="inlineStr">
        <is>
          <t>operating_guidance</t>
        </is>
      </c>
      <c r="F177" s="15" t="inlineStr"/>
    </row>
    <row r="178" ht="18" customHeight="1" s="12">
      <c r="A178" s="15" t="inlineStr">
        <is>
          <t>Investment Management</t>
        </is>
      </c>
      <c r="B178" s="15" t="inlineStr">
        <is>
          <t>Formal Diligence</t>
        </is>
      </c>
      <c r="C178" s="16">
        <f>HYPERLINK('Link Config'!$B$2&amp;"plugins/vc/tasks/run-financial-dd.md","Run Financial DD")</f>
        <v/>
      </c>
      <c r="D178" s="16">
        <f>HYPERLINK('Link Config'!$B$2&amp;"plugins/vc/alludium/documents/deal-room/diligence-report-template.md","Diligence Report Template (vc.document.diligence_report_template)")</f>
        <v/>
      </c>
      <c r="E178" s="15" t="inlineStr">
        <is>
          <t>output_template</t>
        </is>
      </c>
      <c r="F178" s="15" t="inlineStr">
        <is>
          <t>financial_dd_artifact_id</t>
        </is>
      </c>
    </row>
    <row r="179" ht="18" customHeight="1" s="12">
      <c r="A179" s="15" t="inlineStr">
        <is>
          <t>Investment Management</t>
        </is>
      </c>
      <c r="B179" s="15" t="inlineStr">
        <is>
          <t>Formal Diligence</t>
        </is>
      </c>
      <c r="C179" s="16">
        <f>HYPERLINK('Link Config'!$B$2&amp;"plugins/vc/tasks/run-financial-dd.md","Run Financial DD")</f>
        <v/>
      </c>
      <c r="D179" s="16">
        <f>HYPERLINK('Link Config'!$B$2&amp;"plugins/vc/alludium/documents/deal-room/formal-diligence-workstream-guide.md","Formal Diligence Workstream Guide (vc.document.formal_diligence_workstream_guide)")</f>
        <v/>
      </c>
      <c r="E179" s="15" t="inlineStr">
        <is>
          <t>methodology</t>
        </is>
      </c>
      <c r="F179" s="15" t="inlineStr"/>
    </row>
    <row r="180" ht="18" customHeight="1" s="12">
      <c r="A180" s="15" t="inlineStr">
        <is>
          <t>Investment Management</t>
        </is>
      </c>
      <c r="B180" s="15" t="inlineStr">
        <is>
          <t>Formal Diligence</t>
        </is>
      </c>
      <c r="C180" s="16">
        <f>HYPERLINK('Link Config'!$B$2&amp;"plugins/vc/tasks/run-financial-dd.md","Run Financial DD")</f>
        <v/>
      </c>
      <c r="D180" s="16">
        <f>HYPERLINK('Link Config'!$B$2&amp;"plugins/vc/alludium/documents/deal-room/formal-diligence-checklist.md","Formal Diligence Checklist (vc.document.formal_diligence_checklist)")</f>
        <v/>
      </c>
      <c r="E180" s="15" t="inlineStr">
        <is>
          <t>checklist</t>
        </is>
      </c>
      <c r="F180" s="15" t="inlineStr"/>
    </row>
    <row r="181" ht="18" customHeight="1" s="12">
      <c r="A181" s="15" t="inlineStr">
        <is>
          <t>Investment Management</t>
        </is>
      </c>
      <c r="B181" s="15" t="inlineStr">
        <is>
          <t>Formal Diligence</t>
        </is>
      </c>
      <c r="C181" s="16">
        <f>HYPERLINK('Link Config'!$B$2&amp;"plugins/vc/tasks/run-financial-dd.md","Run Financial DD")</f>
        <v/>
      </c>
      <c r="D181" s="16">
        <f>HYPERLINK('Link Config'!$B$2&amp;"plugins/vc/alludium/documents/deal-room/diligence-report-template.md","Diligence Report Template (vc.document.diligence_report_template)")</f>
        <v/>
      </c>
      <c r="E181" s="15" t="inlineStr">
        <is>
          <t>output_template</t>
        </is>
      </c>
      <c r="F181" s="15" t="inlineStr">
        <is>
          <t>unit_economics_artifact_id</t>
        </is>
      </c>
    </row>
    <row r="182" ht="18" customHeight="1" s="12">
      <c r="A182" s="15" t="inlineStr">
        <is>
          <t>Investment Management</t>
        </is>
      </c>
      <c r="B182" s="15" t="inlineStr">
        <is>
          <t>Formal Diligence</t>
        </is>
      </c>
      <c r="C182" s="16">
        <f>HYPERLINK('Link Config'!$B$2&amp;"plugins/vc/tasks/run-financial-dd.md","Run Financial DD")</f>
        <v/>
      </c>
      <c r="D182" s="16">
        <f>HYPERLINK('Link Config'!$B$2&amp;"plugins/vc/alludium/documents/shared/evidence-citation-style-guide.md","Evidence And Citation Style Guide (vc.document.evidence_citation_style_guide)")</f>
        <v/>
      </c>
      <c r="E182" s="15" t="inlineStr">
        <is>
          <t>style_guide</t>
        </is>
      </c>
      <c r="F182" s="15" t="inlineStr"/>
    </row>
    <row r="183" ht="18" customHeight="1" s="12">
      <c r="A183" s="15" t="inlineStr">
        <is>
          <t>Investment Management</t>
        </is>
      </c>
      <c r="B183" s="15" t="inlineStr">
        <is>
          <t>Formal Diligence</t>
        </is>
      </c>
      <c r="C183" s="16">
        <f>HYPERLINK('Link Config'!$B$2&amp;"plugins/vc/tasks/run-financial-dd.md","Run Financial DD")</f>
        <v/>
      </c>
      <c r="D183" s="16">
        <f>HYPERLINK('Link Config'!$B$2&amp;"plugins/vc/alludium/documents/shared/template-use-guidance.md","Template Use Guidance (vc.document.template_use_guidance)")</f>
        <v/>
      </c>
      <c r="E183" s="15" t="inlineStr">
        <is>
          <t>operating_guidance</t>
        </is>
      </c>
      <c r="F183" s="15" t="inlineStr"/>
    </row>
    <row r="184" ht="18" customHeight="1" s="12">
      <c r="A184" s="15" t="inlineStr">
        <is>
          <t>Investment Management</t>
        </is>
      </c>
      <c r="B184" s="15" t="inlineStr">
        <is>
          <t>Formal Diligence</t>
        </is>
      </c>
      <c r="C184" s="16">
        <f>HYPERLINK('Link Config'!$B$2&amp;"plugins/vc/tasks/run-founder-evaluation.md","Run Founder Evaluation")</f>
        <v/>
      </c>
      <c r="D184" s="16">
        <f>HYPERLINK('Link Config'!$B$2&amp;"plugins/vc/alludium/documents/deal-room/diligence-report-template.md","Diligence Report Template (vc.document.diligence_report_template)")</f>
        <v/>
      </c>
      <c r="E184" s="15" t="inlineStr">
        <is>
          <t>output_template</t>
        </is>
      </c>
      <c r="F184" s="15" t="inlineStr">
        <is>
          <t>founder_evaluation_artifact_id</t>
        </is>
      </c>
    </row>
    <row r="185" ht="18" customHeight="1" s="12">
      <c r="A185" s="15" t="inlineStr">
        <is>
          <t>Investment Management</t>
        </is>
      </c>
      <c r="B185" s="15" t="inlineStr">
        <is>
          <t>Formal Diligence</t>
        </is>
      </c>
      <c r="C185" s="16">
        <f>HYPERLINK('Link Config'!$B$2&amp;"plugins/vc/tasks/run-founder-evaluation.md","Run Founder Evaluation")</f>
        <v/>
      </c>
      <c r="D185" s="16">
        <f>HYPERLINK('Link Config'!$B$2&amp;"plugins/vc/alludium/documents/deal-room/formal-diligence-workstream-guide.md","Formal Diligence Workstream Guide (vc.document.formal_diligence_workstream_guide)")</f>
        <v/>
      </c>
      <c r="E185" s="15" t="inlineStr">
        <is>
          <t>methodology</t>
        </is>
      </c>
      <c r="F185" s="15" t="inlineStr"/>
    </row>
    <row r="186" ht="18" customHeight="1" s="12">
      <c r="A186" s="15" t="inlineStr">
        <is>
          <t>Investment Management</t>
        </is>
      </c>
      <c r="B186" s="15" t="inlineStr">
        <is>
          <t>Formal Diligence</t>
        </is>
      </c>
      <c r="C186" s="16">
        <f>HYPERLINK('Link Config'!$B$2&amp;"plugins/vc/tasks/run-founder-evaluation.md","Run Founder Evaluation")</f>
        <v/>
      </c>
      <c r="D186" s="16">
        <f>HYPERLINK('Link Config'!$B$2&amp;"plugins/vc/alludium/documents/deal-room/formal-diligence-checklist.md","Formal Diligence Checklist (vc.document.formal_diligence_checklist)")</f>
        <v/>
      </c>
      <c r="E186" s="15" t="inlineStr">
        <is>
          <t>checklist</t>
        </is>
      </c>
      <c r="F186" s="15" t="inlineStr"/>
    </row>
    <row r="187" ht="18" customHeight="1" s="12">
      <c r="A187" s="15" t="inlineStr">
        <is>
          <t>Investment Management</t>
        </is>
      </c>
      <c r="B187" s="15" t="inlineStr">
        <is>
          <t>Formal Diligence</t>
        </is>
      </c>
      <c r="C187" s="16">
        <f>HYPERLINK('Link Config'!$B$2&amp;"plugins/vc/tasks/run-founder-evaluation.md","Run Founder Evaluation")</f>
        <v/>
      </c>
      <c r="D187" s="16">
        <f>HYPERLINK('Link Config'!$B$2&amp;"plugins/vc/alludium/documents/shared/evidence-citation-style-guide.md","Evidence And Citation Style Guide (vc.document.evidence_citation_style_guide)")</f>
        <v/>
      </c>
      <c r="E187" s="15" t="inlineStr">
        <is>
          <t>style_guide</t>
        </is>
      </c>
      <c r="F187" s="15" t="inlineStr"/>
    </row>
    <row r="188" ht="18" customHeight="1" s="12">
      <c r="A188" s="15" t="inlineStr">
        <is>
          <t>Investment Management</t>
        </is>
      </c>
      <c r="B188" s="15" t="inlineStr">
        <is>
          <t>Formal Diligence</t>
        </is>
      </c>
      <c r="C188" s="16">
        <f>HYPERLINK('Link Config'!$B$2&amp;"plugins/vc/tasks/run-founder-evaluation.md","Run Founder Evaluation")</f>
        <v/>
      </c>
      <c r="D188" s="16">
        <f>HYPERLINK('Link Config'!$B$2&amp;"plugins/vc/alludium/documents/shared/template-use-guidance.md","Template Use Guidance (vc.document.template_use_guidance)")</f>
        <v/>
      </c>
      <c r="E188" s="15" t="inlineStr">
        <is>
          <t>operating_guidance</t>
        </is>
      </c>
      <c r="F188" s="15" t="inlineStr"/>
    </row>
    <row r="189" ht="18" customHeight="1" s="12">
      <c r="A189" s="15" t="inlineStr">
        <is>
          <t>Investment Management</t>
        </is>
      </c>
      <c r="B189" s="15" t="inlineStr">
        <is>
          <t>Formal Diligence</t>
        </is>
      </c>
      <c r="C189" s="16">
        <f>HYPERLINK('Link Config'!$B$2&amp;"plugins/vc/tasks/run-technical-dd.md","Run Technical DD")</f>
        <v/>
      </c>
      <c r="D189" s="16">
        <f>HYPERLINK('Link Config'!$B$2&amp;"plugins/vc/alludium/documents/deal-room/diligence-report-template.md","Diligence Report Template (vc.document.diligence_report_template)")</f>
        <v/>
      </c>
      <c r="E189" s="15" t="inlineStr">
        <is>
          <t>output_template</t>
        </is>
      </c>
      <c r="F189" s="15" t="inlineStr">
        <is>
          <t>technical_dd_artifact_id</t>
        </is>
      </c>
    </row>
    <row r="190" ht="18" customHeight="1" s="12">
      <c r="A190" s="15" t="inlineStr">
        <is>
          <t>Investment Management</t>
        </is>
      </c>
      <c r="B190" s="15" t="inlineStr">
        <is>
          <t>Formal Diligence</t>
        </is>
      </c>
      <c r="C190" s="16">
        <f>HYPERLINK('Link Config'!$B$2&amp;"plugins/vc/tasks/run-technical-dd.md","Run Technical DD")</f>
        <v/>
      </c>
      <c r="D190" s="16">
        <f>HYPERLINK('Link Config'!$B$2&amp;"plugins/vc/alludium/documents/deal-room/formal-diligence-workstream-guide.md","Formal Diligence Workstream Guide (vc.document.formal_diligence_workstream_guide)")</f>
        <v/>
      </c>
      <c r="E190" s="15" t="inlineStr">
        <is>
          <t>methodology</t>
        </is>
      </c>
      <c r="F190" s="15" t="inlineStr"/>
    </row>
    <row r="191" ht="18" customHeight="1" s="12">
      <c r="A191" s="15" t="inlineStr">
        <is>
          <t>Investment Management</t>
        </is>
      </c>
      <c r="B191" s="15" t="inlineStr">
        <is>
          <t>Formal Diligence</t>
        </is>
      </c>
      <c r="C191" s="16">
        <f>HYPERLINK('Link Config'!$B$2&amp;"plugins/vc/tasks/run-technical-dd.md","Run Technical DD")</f>
        <v/>
      </c>
      <c r="D191" s="16">
        <f>HYPERLINK('Link Config'!$B$2&amp;"plugins/vc/alludium/documents/deal-room/formal-diligence-checklist.md","Formal Diligence Checklist (vc.document.formal_diligence_checklist)")</f>
        <v/>
      </c>
      <c r="E191" s="15" t="inlineStr">
        <is>
          <t>checklist</t>
        </is>
      </c>
      <c r="F191" s="15" t="inlineStr"/>
    </row>
    <row r="192" ht="18" customHeight="1" s="12">
      <c r="A192" s="15" t="inlineStr">
        <is>
          <t>Investment Management</t>
        </is>
      </c>
      <c r="B192" s="15" t="inlineStr">
        <is>
          <t>Formal Diligence</t>
        </is>
      </c>
      <c r="C192" s="16">
        <f>HYPERLINK('Link Config'!$B$2&amp;"plugins/vc/tasks/run-technical-dd.md","Run Technical DD")</f>
        <v/>
      </c>
      <c r="D192" s="16">
        <f>HYPERLINK('Link Config'!$B$2&amp;"plugins/vc/alludium/documents/shared/evidence-citation-style-guide.md","Evidence And Citation Style Guide (vc.document.evidence_citation_style_guide)")</f>
        <v/>
      </c>
      <c r="E192" s="15" t="inlineStr">
        <is>
          <t>style_guide</t>
        </is>
      </c>
      <c r="F192" s="15" t="inlineStr"/>
    </row>
    <row r="193" ht="18" customHeight="1" s="12">
      <c r="A193" s="15" t="inlineStr">
        <is>
          <t>Investment Management</t>
        </is>
      </c>
      <c r="B193" s="15" t="inlineStr">
        <is>
          <t>Formal Diligence</t>
        </is>
      </c>
      <c r="C193" s="16">
        <f>HYPERLINK('Link Config'!$B$2&amp;"plugins/vc/tasks/run-technical-dd.md","Run Technical DD")</f>
        <v/>
      </c>
      <c r="D193" s="16">
        <f>HYPERLINK('Link Config'!$B$2&amp;"plugins/vc/alludium/documents/shared/template-use-guidance.md","Template Use Guidance (vc.document.template_use_guidance)")</f>
        <v/>
      </c>
      <c r="E193" s="15" t="inlineStr">
        <is>
          <t>operating_guidance</t>
        </is>
      </c>
      <c r="F193" s="15" t="inlineStr"/>
    </row>
    <row r="194" ht="18" customHeight="1" s="12">
      <c r="A194" s="15" t="inlineStr">
        <is>
          <t>Investment Management</t>
        </is>
      </c>
      <c r="B194" s="15" t="inlineStr">
        <is>
          <t>Formal Diligence</t>
        </is>
      </c>
      <c r="C194" s="16">
        <f>HYPERLINK('Link Config'!$B$2&amp;"plugins/vc/tasks/run-legal-diligence.md","Run Legal Diligence")</f>
        <v/>
      </c>
      <c r="D194" s="16">
        <f>HYPERLINK('Link Config'!$B$2&amp;"plugins/vc/alludium/documents/deal-room/legal-diligence-tracker-template.md","Legal Diligence Tracker Template (vc.document.legal_diligence_tracker_template)")</f>
        <v/>
      </c>
      <c r="E194" s="15" t="inlineStr">
        <is>
          <t>output_template</t>
        </is>
      </c>
      <c r="F194" s="15" t="inlineStr">
        <is>
          <t>legal_diligence_artifact_id</t>
        </is>
      </c>
    </row>
    <row r="195" ht="18" customHeight="1" s="12">
      <c r="A195" s="15" t="inlineStr">
        <is>
          <t>Investment Management</t>
        </is>
      </c>
      <c r="B195" s="15" t="inlineStr">
        <is>
          <t>Formal Diligence</t>
        </is>
      </c>
      <c r="C195" s="16">
        <f>HYPERLINK('Link Config'!$B$2&amp;"plugins/vc/tasks/run-legal-diligence.md","Run Legal Diligence")</f>
        <v/>
      </c>
      <c r="D195" s="16">
        <f>HYPERLINK('Link Config'!$B$2&amp;"plugins/vc/alludium/documents/deal-room/legal-diligence-guide.md","Legal Diligence Guide (vc.document.legal_diligence_guide)")</f>
        <v/>
      </c>
      <c r="E195" s="15" t="inlineStr">
        <is>
          <t>methodology</t>
        </is>
      </c>
      <c r="F195" s="15" t="inlineStr"/>
    </row>
    <row r="196" ht="18" customHeight="1" s="12">
      <c r="A196" s="15" t="inlineStr">
        <is>
          <t>Investment Management</t>
        </is>
      </c>
      <c r="B196" s="15" t="inlineStr">
        <is>
          <t>Formal Diligence</t>
        </is>
      </c>
      <c r="C196" s="16">
        <f>HYPERLINK('Link Config'!$B$2&amp;"plugins/vc/tasks/run-legal-diligence.md","Run Legal Diligence")</f>
        <v/>
      </c>
      <c r="D196" s="16">
        <f>HYPERLINK('Link Config'!$B$2&amp;"plugins/vc/alludium/documents/deal-room/formal-diligence-workstream-guide.md","Formal Diligence Workstream Guide (vc.document.formal_diligence_workstream_guide)")</f>
        <v/>
      </c>
      <c r="E196" s="15" t="inlineStr">
        <is>
          <t>methodology</t>
        </is>
      </c>
      <c r="F196" s="15" t="inlineStr"/>
    </row>
    <row r="197" ht="18" customHeight="1" s="12">
      <c r="A197" s="15" t="inlineStr">
        <is>
          <t>Investment Management</t>
        </is>
      </c>
      <c r="B197" s="15" t="inlineStr">
        <is>
          <t>Formal Diligence</t>
        </is>
      </c>
      <c r="C197" s="16">
        <f>HYPERLINK('Link Config'!$B$2&amp;"plugins/vc/tasks/run-legal-diligence.md","Run Legal Diligence")</f>
        <v/>
      </c>
      <c r="D197" s="16">
        <f>HYPERLINK('Link Config'!$B$2&amp;"plugins/vc/alludium/documents/deal-room/formal-diligence-checklist.md","Formal Diligence Checklist (vc.document.formal_diligence_checklist)")</f>
        <v/>
      </c>
      <c r="E197" s="15" t="inlineStr">
        <is>
          <t>checklist</t>
        </is>
      </c>
      <c r="F197" s="15" t="inlineStr"/>
    </row>
    <row r="198" ht="18" customHeight="1" s="12">
      <c r="A198" s="15" t="inlineStr">
        <is>
          <t>Investment Management</t>
        </is>
      </c>
      <c r="B198" s="15" t="inlineStr">
        <is>
          <t>Formal Diligence</t>
        </is>
      </c>
      <c r="C198" s="16">
        <f>HYPERLINK('Link Config'!$B$2&amp;"plugins/vc/tasks/run-legal-diligence.md","Run Legal Diligence")</f>
        <v/>
      </c>
      <c r="D198" s="16">
        <f>HYPERLINK('Link Config'!$B$2&amp;"plugins/vc/alludium/documents/shared/evidence-citation-style-guide.md","Evidence And Citation Style Guide (vc.document.evidence_citation_style_guide)")</f>
        <v/>
      </c>
      <c r="E198" s="15" t="inlineStr">
        <is>
          <t>style_guide</t>
        </is>
      </c>
      <c r="F198" s="15" t="inlineStr"/>
    </row>
    <row r="199" ht="18" customHeight="1" s="12">
      <c r="A199" s="15" t="inlineStr">
        <is>
          <t>Investment Management</t>
        </is>
      </c>
      <c r="B199" s="15" t="inlineStr">
        <is>
          <t>Formal Diligence</t>
        </is>
      </c>
      <c r="C199" s="16">
        <f>HYPERLINK('Link Config'!$B$2&amp;"plugins/vc/tasks/run-legal-diligence.md","Run Legal Diligence")</f>
        <v/>
      </c>
      <c r="D199" s="16">
        <f>HYPERLINK('Link Config'!$B$2&amp;"plugins/vc/alludium/documents/shared/template-use-guidance.md","Template Use Guidance (vc.document.template_use_guidance)")</f>
        <v/>
      </c>
      <c r="E199" s="15" t="inlineStr">
        <is>
          <t>operating_guidance</t>
        </is>
      </c>
      <c r="F199" s="15" t="inlineStr"/>
    </row>
    <row r="200" ht="18" customHeight="1" s="12">
      <c r="A200" s="15" t="inlineStr">
        <is>
          <t>Investment Management</t>
        </is>
      </c>
      <c r="B200" s="15" t="inlineStr">
        <is>
          <t>Contracts</t>
        </is>
      </c>
      <c r="C200" s="16">
        <f>HYPERLINK('Link Config'!$B$2&amp;"plugins/vc/tasks/review-investment-documents.md","Review Investment Documents")</f>
        <v/>
      </c>
      <c r="D200" s="16">
        <f>HYPERLINK('Link Config'!$B$2&amp;"plugins/vc/alludium/documents/deal-room/investment-document-review-template.md","Investment Document Review Template (vc.document.investment_document_review_template)")</f>
        <v/>
      </c>
      <c r="E200" s="15" t="inlineStr">
        <is>
          <t>output_template</t>
        </is>
      </c>
      <c r="F200" s="15" t="inlineStr">
        <is>
          <t>investment_document_review_artifact_id</t>
        </is>
      </c>
    </row>
    <row r="201" ht="18" customHeight="1" s="12">
      <c r="A201" s="15" t="inlineStr">
        <is>
          <t>Investment Management</t>
        </is>
      </c>
      <c r="B201" s="15" t="inlineStr">
        <is>
          <t>Contracts</t>
        </is>
      </c>
      <c r="C201" s="16">
        <f>HYPERLINK('Link Config'!$B$2&amp;"plugins/vc/tasks/review-investment-documents.md","Review Investment Documents")</f>
        <v/>
      </c>
      <c r="D201" s="16">
        <f>HYPERLINK('Link Config'!$B$2&amp;"plugins/vc/alludium/documents/deal-room/legal-diligence-guide.md","Legal Diligence Guide (vc.document.legal_diligence_guide)")</f>
        <v/>
      </c>
      <c r="E201" s="15" t="inlineStr">
        <is>
          <t>methodology</t>
        </is>
      </c>
      <c r="F201" s="15" t="inlineStr"/>
    </row>
    <row r="202" ht="18" customHeight="1" s="12">
      <c r="A202" s="15" t="inlineStr">
        <is>
          <t>Investment Management</t>
        </is>
      </c>
      <c r="B202" s="15" t="inlineStr">
        <is>
          <t>Contracts</t>
        </is>
      </c>
      <c r="C202" s="16">
        <f>HYPERLINK('Link Config'!$B$2&amp;"plugins/vc/tasks/review-investment-documents.md","Review Investment Documents")</f>
        <v/>
      </c>
      <c r="D202" s="16">
        <f>HYPERLINK('Link Config'!$B$2&amp;"plugins/vc/alludium/documents/shared/evidence-citation-style-guide.md","Evidence And Citation Style Guide (vc.document.evidence_citation_style_guide)")</f>
        <v/>
      </c>
      <c r="E202" s="15" t="inlineStr">
        <is>
          <t>style_guide</t>
        </is>
      </c>
      <c r="F202" s="15" t="inlineStr"/>
    </row>
    <row r="203" ht="18" customHeight="1" s="12">
      <c r="A203" s="15" t="inlineStr">
        <is>
          <t>Investment Management</t>
        </is>
      </c>
      <c r="B203" s="15" t="inlineStr">
        <is>
          <t>Contracts</t>
        </is>
      </c>
      <c r="C203" s="16">
        <f>HYPERLINK('Link Config'!$B$2&amp;"plugins/vc/tasks/review-investment-documents.md","Review Investment Documents")</f>
        <v/>
      </c>
      <c r="D203" s="16">
        <f>HYPERLINK('Link Config'!$B$2&amp;"plugins/vc/alludium/documents/shared/template-use-guidance.md","Template Use Guidance (vc.document.template_use_guidance)")</f>
        <v/>
      </c>
      <c r="E203" s="15" t="inlineStr">
        <is>
          <t>operating_guidance</t>
        </is>
      </c>
      <c r="F203" s="15" t="inlineStr"/>
    </row>
    <row r="204" ht="18" customHeight="1" s="12">
      <c r="A204" s="15" t="inlineStr">
        <is>
          <t>Investment Management</t>
        </is>
      </c>
      <c r="B204" s="15" t="inlineStr">
        <is>
          <t>Closing</t>
        </is>
      </c>
      <c r="C204" s="16">
        <f>HYPERLINK('Link Config'!$B$2&amp;"plugins/vc/tasks/manage-closing-checklist.md","Manage Closing Checklist")</f>
        <v/>
      </c>
      <c r="D204" s="16">
        <f>HYPERLINK('Link Config'!$B$2&amp;"plugins/vc/alludium/documents/deal-room/closing-checklist.md","Closing Checklist (vc.document.closing_checklist)")</f>
        <v/>
      </c>
      <c r="E204" s="15" t="inlineStr">
        <is>
          <t>output_template</t>
        </is>
      </c>
      <c r="F204" s="15" t="inlineStr">
        <is>
          <t>closing_checklist_artifact_id</t>
        </is>
      </c>
    </row>
    <row r="205" ht="18" customHeight="1" s="12">
      <c r="A205" s="15" t="inlineStr">
        <is>
          <t>Investment Management</t>
        </is>
      </c>
      <c r="B205" s="15" t="inlineStr">
        <is>
          <t>Closing</t>
        </is>
      </c>
      <c r="C205" s="16">
        <f>HYPERLINK('Link Config'!$B$2&amp;"plugins/vc/tasks/manage-closing-checklist.md","Manage Closing Checklist")</f>
        <v/>
      </c>
      <c r="D205" s="16">
        <f>HYPERLINK('Link Config'!$B$2&amp;"plugins/vc/alludium/documents/deal-room/legal-diligence-guide.md","Legal Diligence Guide (vc.document.legal_diligence_guide)")</f>
        <v/>
      </c>
      <c r="E205" s="15" t="inlineStr">
        <is>
          <t>methodology</t>
        </is>
      </c>
      <c r="F205" s="15" t="inlineStr"/>
    </row>
    <row r="206" ht="18" customHeight="1" s="12">
      <c r="A206" s="15" t="inlineStr">
        <is>
          <t>Investment Management</t>
        </is>
      </c>
      <c r="B206" s="15" t="inlineStr">
        <is>
          <t>Closing</t>
        </is>
      </c>
      <c r="C206" s="16">
        <f>HYPERLINK('Link Config'!$B$2&amp;"plugins/vc/tasks/manage-closing-checklist.md","Manage Closing Checklist")</f>
        <v/>
      </c>
      <c r="D206" s="16">
        <f>HYPERLINK('Link Config'!$B$2&amp;"plugins/vc/alludium/documents/shared/template-use-guidance.md","Template Use Guidance (vc.document.template_use_guidance)")</f>
        <v/>
      </c>
      <c r="E206" s="15" t="inlineStr">
        <is>
          <t>operating_guidance</t>
        </is>
      </c>
      <c r="F206" s="15" t="inlineStr"/>
    </row>
    <row r="207" ht="18" customHeight="1" s="12">
      <c r="A207" s="15" t="inlineStr">
        <is>
          <t>Investment Management</t>
        </is>
      </c>
      <c r="B207" s="15" t="inlineStr">
        <is>
          <t>Closing</t>
        </is>
      </c>
      <c r="C207" s="16">
        <f>HYPERLINK('Link Config'!$B$2&amp;"plugins/vc/tasks/verify-conditions-precedent.md","Verify Conditions Precedent")</f>
        <v/>
      </c>
      <c r="D207" s="16">
        <f>HYPERLINK('Link Config'!$B$2&amp;"plugins/vc/alludium/documents/deal-room/conditions-precedent-tracker-template.md","Conditions Precedent Tracker Template (vc.document.conditions_precedent_tracker_template)")</f>
        <v/>
      </c>
      <c r="E207" s="15" t="inlineStr">
        <is>
          <t>output_template</t>
        </is>
      </c>
      <c r="F207" s="15" t="inlineStr">
        <is>
          <t>conditions_precedent_verification_artifact_id</t>
        </is>
      </c>
    </row>
    <row r="208" ht="18" customHeight="1" s="12">
      <c r="A208" s="15" t="inlineStr">
        <is>
          <t>Investment Management</t>
        </is>
      </c>
      <c r="B208" s="15" t="inlineStr">
        <is>
          <t>Closing</t>
        </is>
      </c>
      <c r="C208" s="16">
        <f>HYPERLINK('Link Config'!$B$2&amp;"plugins/vc/tasks/verify-conditions-precedent.md","Verify Conditions Precedent")</f>
        <v/>
      </c>
      <c r="D208" s="16">
        <f>HYPERLINK('Link Config'!$B$2&amp;"plugins/vc/alludium/documents/deal-room/legal-diligence-guide.md","Legal Diligence Guide (vc.document.legal_diligence_guide)")</f>
        <v/>
      </c>
      <c r="E208" s="15" t="inlineStr">
        <is>
          <t>methodology</t>
        </is>
      </c>
      <c r="F208" s="15" t="inlineStr"/>
    </row>
    <row r="209" ht="18" customHeight="1" s="12">
      <c r="A209" s="15" t="inlineStr">
        <is>
          <t>Investment Management</t>
        </is>
      </c>
      <c r="B209" s="15" t="inlineStr">
        <is>
          <t>Closing</t>
        </is>
      </c>
      <c r="C209" s="16">
        <f>HYPERLINK('Link Config'!$B$2&amp;"plugins/vc/tasks/verify-conditions-precedent.md","Verify Conditions Precedent")</f>
        <v/>
      </c>
      <c r="D209" s="16">
        <f>HYPERLINK('Link Config'!$B$2&amp;"plugins/vc/alludium/documents/shared/template-use-guidance.md","Template Use Guidance (vc.document.template_use_guidance)")</f>
        <v/>
      </c>
      <c r="E209" s="15" t="inlineStr">
        <is>
          <t>operating_guidance</t>
        </is>
      </c>
      <c r="F209" s="15" t="inlineStr"/>
    </row>
    <row r="210" ht="18" customHeight="1" s="12">
      <c r="A210" s="15" t="inlineStr">
        <is>
          <t>Investment Management</t>
        </is>
      </c>
      <c r="B210" s="15" t="inlineStr">
        <is>
          <t>Closing</t>
        </is>
      </c>
      <c r="C210" s="16">
        <f>HYPERLINK('Link Config'!$B$2&amp;"plugins/vc/tasks/coordinate-capital-call-and-completion.md","Coordinate Capital Call And Completion")</f>
        <v/>
      </c>
      <c r="D210" s="16">
        <f>HYPERLINK('Link Config'!$B$2&amp;"plugins/vc/alludium/documents/deal-room/completion-tracker-template.md","Completion Tracker Template (vc.document.completion_tracker_template)")</f>
        <v/>
      </c>
      <c r="E210" s="15" t="inlineStr">
        <is>
          <t>output_template</t>
        </is>
      </c>
      <c r="F210" s="15" t="inlineStr">
        <is>
          <t>completion_tracker_artifact_id</t>
        </is>
      </c>
    </row>
    <row r="211" ht="18" customHeight="1" s="12">
      <c r="A211" s="15" t="inlineStr">
        <is>
          <t>Investment Management</t>
        </is>
      </c>
      <c r="B211" s="15" t="inlineStr">
        <is>
          <t>Closing</t>
        </is>
      </c>
      <c r="C211" s="16">
        <f>HYPERLINK('Link Config'!$B$2&amp;"plugins/vc/tasks/coordinate-capital-call-and-completion.md","Coordinate Capital Call And Completion")</f>
        <v/>
      </c>
      <c r="D211" s="16">
        <f>HYPERLINK('Link Config'!$B$2&amp;"plugins/vc/alludium/documents/shared/evidence-citation-style-guide.md","Evidence And Citation Style Guide (vc.document.evidence_citation_style_guide)")</f>
        <v/>
      </c>
      <c r="E211" s="15" t="inlineStr">
        <is>
          <t>style_guide</t>
        </is>
      </c>
      <c r="F211" s="15" t="inlineStr"/>
    </row>
    <row r="212" ht="18" customHeight="1" s="12">
      <c r="A212" s="15" t="inlineStr">
        <is>
          <t>Investment Management</t>
        </is>
      </c>
      <c r="B212" s="15" t="inlineStr">
        <is>
          <t>Closing</t>
        </is>
      </c>
      <c r="C212" s="16">
        <f>HYPERLINK('Link Config'!$B$2&amp;"plugins/vc/tasks/coordinate-capital-call-and-completion.md","Coordinate Capital Call And Completion")</f>
        <v/>
      </c>
      <c r="D212" s="16">
        <f>HYPERLINK('Link Config'!$B$2&amp;"plugins/vc/alludium/documents/shared/template-use-guidance.md","Template Use Guidance (vc.document.template_use_guidance)")</f>
        <v/>
      </c>
      <c r="E212" s="15" t="inlineStr">
        <is>
          <t>operating_guidance</t>
        </is>
      </c>
      <c r="F212" s="15" t="inlineStr"/>
    </row>
    <row r="213" ht="18" customHeight="1" s="12">
      <c r="A213" s="15" t="inlineStr">
        <is>
          <t>Investment Management</t>
        </is>
      </c>
      <c r="B213" s="15" t="inlineStr">
        <is>
          <t>Closing</t>
        </is>
      </c>
      <c r="C213" s="16">
        <f>HYPERLINK('Link Config'!$B$2&amp;"plugins/vc/tasks/prepare-portfolio-onboarding.md","Prepare Portfolio Onboarding")</f>
        <v/>
      </c>
      <c r="D213" s="16">
        <f>HYPERLINK('Link Config'!$B$2&amp;"plugins/vc/alludium/documents/deal-room/portfolio-onboarding-plan-template.md","Portfolio Onboarding Plan Template (vc.document.portfolio_onboarding_plan_template)")</f>
        <v/>
      </c>
      <c r="E213" s="15" t="inlineStr">
        <is>
          <t>output_template</t>
        </is>
      </c>
      <c r="F213" s="15" t="inlineStr">
        <is>
          <t>portfolio_onboarding_plan_artifact_id</t>
        </is>
      </c>
    </row>
    <row r="214" ht="18" customHeight="1" s="12">
      <c r="A214" s="15" t="inlineStr">
        <is>
          <t>Investment Management</t>
        </is>
      </c>
      <c r="B214" s="15" t="inlineStr">
        <is>
          <t>Closing</t>
        </is>
      </c>
      <c r="C214" s="16">
        <f>HYPERLINK('Link Config'!$B$2&amp;"plugins/vc/tasks/prepare-portfolio-onboarding.md","Prepare Portfolio Onboarding")</f>
        <v/>
      </c>
      <c r="D214" s="16">
        <f>HYPERLINK('Link Config'!$B$2&amp;"plugins/vc/alludium/documents/shared/template-use-guidance.md","Template Use Guidance (vc.document.template_use_guidance)")</f>
        <v/>
      </c>
      <c r="E214" s="15" t="inlineStr">
        <is>
          <t>operating_guidance</t>
        </is>
      </c>
      <c r="F214" s="15" t="inlineStr"/>
    </row>
  </sheetData>
  <autoFilter ref="A1:F21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8" customWidth="1" style="12" min="1" max="1"/>
    <col width="86" customWidth="1" style="12" min="2" max="2"/>
    <col width="92" customWidth="1" style="12" min="3" max="3"/>
  </cols>
  <sheetData>
    <row r="1" ht="18" customHeight="1" s="12">
      <c r="A1" s="13" t="inlineStr">
        <is>
          <t>Variable</t>
        </is>
      </c>
      <c r="B1" s="13" t="inlineStr">
        <is>
          <t>Value</t>
        </is>
      </c>
      <c r="C1" s="13" t="inlineStr">
        <is>
          <t>Notes</t>
        </is>
      </c>
    </row>
    <row r="2" ht="18" customHeight="1" s="12">
      <c r="A2" s="14" t="inlineStr">
        <is>
          <t>GITHUB_BASE_URL</t>
        </is>
      </c>
      <c r="B2" s="14" t="inlineStr">
        <is>
          <t>https://github.com/alludium/alludium-packs/blob/codex/vc-blueprint-refactor/</t>
        </is>
      </c>
      <c r="C2" s="14" t="inlineStr">
        <is>
          <t>Update this after merge, for example to https://github.com/alludium/alludium-packs/blob/main/</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2026-05-19T21:16:19Z</dcterms:created>
  <dcterms:modified xsi:type="dcterms:W3CDTF">2026-05-27T16:50:09Z</dcterms:modified>
</cp:coreProperties>
</file>