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Map'!$A$1:$K$306</definedName>
    <definedName name="_xlnm._FilterDatabase" localSheetId="1" hidden="1">'Skill Map'!$A$1:$H$67</definedName>
    <definedName name="_xlnm._FilterDatabase" localSheetId="2" hidden="1">'Document Catalog'!$A$1:$E$55</definedName>
    <definedName name="_xlnm._FilterDatabase" localSheetId="3" hidden="1">'Task Skill Links'!$A$1:$D$219</definedName>
    <definedName name="_xlnm._FilterDatabase" localSheetId="4" hidden="1">'Task Document Links'!$A$1:$F$187</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06" headerRowCount="1">
  <autoFilter ref="A2:K306"/>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19" headerRowCount="1">
  <autoFilter ref="A2:D219"/>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187" headerRowCount="1">
  <autoFilter ref="A2:F187"/>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06"/>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8" customHeight="1" s="12">
      <c r="A7" s="15" t="inlineStr"/>
      <c r="B7" s="15" t="inlineStr">
        <is>
          <t>Deal Pipeline</t>
        </is>
      </c>
      <c r="C7" s="15" t="inlineStr">
        <is>
          <t>Setup</t>
        </is>
      </c>
      <c r="D7" s="15" t="inlineStr">
        <is>
          <t>Project Source Setup</t>
        </is>
      </c>
      <c r="E7" s="15" t="inlineStr">
        <is>
          <t>Review selected source route and setup intent before writes or imports.</t>
        </is>
      </c>
      <c r="F7" s="16">
        <f>HYPERLINK('Link Config'!$B$2&amp;"plugins/vc/agents/vc-deal-room-setup-guide.md","Deal Pipeline Setup Guide")</f>
        <v/>
      </c>
      <c r="G7" s="15" t="inlineStr">
        <is>
          <t>None declared</t>
        </is>
      </c>
      <c r="H7" s="15" t="inlineStr">
        <is>
          <t>None declared</t>
        </is>
      </c>
      <c r="I7" s="15" t="inlineStr">
        <is>
          <t>None declared</t>
        </is>
      </c>
      <c r="J7" s="15" t="inlineStr">
        <is>
          <t>project-source-setup</t>
        </is>
      </c>
      <c r="K7" s="15" t="inlineStr">
        <is>
          <t>setup</t>
        </is>
      </c>
    </row>
    <row r="8" ht="30" customHeight="1" s="12">
      <c r="A8" s="15" t="inlineStr"/>
      <c r="B8" s="15" t="inlineStr">
        <is>
          <t>Deal Pipeline</t>
        </is>
      </c>
      <c r="C8" s="15" t="inlineStr">
        <is>
          <t>Setup</t>
        </is>
      </c>
      <c r="D8" s="16">
        <f>HYPERLINK('Link Config'!$B$2&amp;"plugins/vc/tasks/vc-pack-variable-discovery.md","VC Pack Variable Discovery")</f>
        <v/>
      </c>
      <c r="E8" s="15" t="inlineStr">
        <is>
          <t>Best-effort, review-only discovery for VC Pack Setup variables and invite suggestions.</t>
        </is>
      </c>
      <c r="F8" s="16">
        <f>HYPERLINK('Link Config'!$B$2&amp;"plugins/vc/agents/vc-deal-room-setup-guide.md","Deal Pipeline Setup Guide")</f>
        <v/>
      </c>
      <c r="G8" s="15" t="inlineStr">
        <is>
          <t>None declared</t>
        </is>
      </c>
      <c r="H8" s="15" t="inlineStr">
        <is>
          <t>None declared</t>
        </is>
      </c>
      <c r="I8" s="15" t="inlineStr">
        <is>
          <t>alludium-platform
affinity-mcp-server</t>
        </is>
      </c>
      <c r="J8" s="15" t="inlineStr">
        <is>
          <t>vc-pack-variable-discovery</t>
        </is>
      </c>
      <c r="K8" s="15" t="inlineStr">
        <is>
          <t>setup</t>
        </is>
      </c>
    </row>
    <row r="9" ht="18" customHeight="1" s="12">
      <c r="A9" s="15" t="inlineStr"/>
      <c r="B9" s="15" t="inlineStr">
        <is>
          <t>Deal Pipeline</t>
        </is>
      </c>
      <c r="C9" s="15" t="inlineStr">
        <is>
          <t>Setup</t>
        </is>
      </c>
      <c r="D9" s="16">
        <f>HYPERLINK('Link Config'!$B$2&amp;"plugins/vc/tasks/affinity-setup.md","Set Up Affinity for Deal Pipelines")</f>
        <v/>
      </c>
      <c r="E9" s="15" t="inlineStr">
        <is>
          <t>Coordinate Affinity connection readiness, list discovery, read-preview policy, and optional write-back proposal scope for Deal Pipeline setup.</t>
        </is>
      </c>
      <c r="F9" s="16">
        <f>HYPERLINK('Link Config'!$B$2&amp;"plugins/vc/agents/vc-integration-operator.md","Integration Operator")</f>
        <v/>
      </c>
      <c r="G9" s="16">
        <f>HYPERLINK('Link Config'!$B$2&amp;"plugins/vc/skills/vc-affinity-discovery/SKILL.md","vc-affinity-discovery")</f>
        <v/>
      </c>
      <c r="H9" s="15" t="inlineStr">
        <is>
          <t>None declared</t>
        </is>
      </c>
      <c r="I9" s="15" t="inlineStr">
        <is>
          <t>affinity-mcp-server</t>
        </is>
      </c>
      <c r="J9" s="15" t="inlineStr">
        <is>
          <t>affinity-setup</t>
        </is>
      </c>
      <c r="K9" s="15" t="inlineStr">
        <is>
          <t>setup</t>
        </is>
      </c>
    </row>
    <row r="10" ht="18" customHeight="1" s="12">
      <c r="A10" s="15" t="inlineStr"/>
      <c r="B10" s="15" t="inlineStr">
        <is>
          <t>Deal Pipeline</t>
        </is>
      </c>
      <c r="C10" s="15" t="inlineStr">
        <is>
          <t>Setup</t>
        </is>
      </c>
      <c r="D10" s="16">
        <f>HYPERLINK('Link Config'!$B$2&amp;"plugins/vc/tasks/affinity-setup.md","Set Up Affinity for Deal Pipelines")</f>
        <v/>
      </c>
      <c r="E10" s="15" t="inlineStr">
        <is>
          <t>Coordinate Affinity connection readiness, list discovery, read-preview policy, and optional write-back proposal scope for Deal Pipeline setup.</t>
        </is>
      </c>
      <c r="F10" s="16">
        <f>HYPERLINK('Link Config'!$B$2&amp;"plugins/vc/agents/vc-integration-operator.md","Integration Operator")</f>
        <v/>
      </c>
      <c r="G10" s="16">
        <f>HYPERLINK('Link Config'!$B$2&amp;"plugins/vc/skills/vc-affinity-sync-read/SKILL.md","vc-affinity-sync-read")</f>
        <v/>
      </c>
      <c r="H10" s="15" t="inlineStr"/>
      <c r="I10" s="15" t="inlineStr">
        <is>
          <t>affinity-mcp-server</t>
        </is>
      </c>
      <c r="J10" s="15" t="inlineStr">
        <is>
          <t>affinity-setup</t>
        </is>
      </c>
      <c r="K10" s="15" t="inlineStr">
        <is>
          <t>setup</t>
        </is>
      </c>
    </row>
    <row r="11" ht="18" customHeight="1" s="12">
      <c r="A11" s="15" t="inlineStr"/>
      <c r="B11" s="15" t="inlineStr">
        <is>
          <t>Deal Pipeline</t>
        </is>
      </c>
      <c r="C11" s="15" t="inlineStr">
        <is>
          <t>Setup</t>
        </is>
      </c>
      <c r="D11" s="16">
        <f>HYPERLINK('Link Config'!$B$2&amp;"plugins/vc/tasks/affinity-setup.md","Set Up Affinity for Deal Pipelines")</f>
        <v/>
      </c>
      <c r="E11" s="15" t="inlineStr">
        <is>
          <t>Coordinate Affinity connection readiness, list discovery, read-preview policy, and optional write-back proposal scope for Deal Pipeline setup.</t>
        </is>
      </c>
      <c r="F11" s="16">
        <f>HYPERLINK('Link Config'!$B$2&amp;"plugins/vc/agents/vc-integration-operator.md","Integration Operator")</f>
        <v/>
      </c>
      <c r="G11" s="16">
        <f>HYPERLINK('Link Config'!$B$2&amp;"plugins/vc/skills/vc-affinity-sync-write/SKILL.md","vc-affinity-sync-write")</f>
        <v/>
      </c>
      <c r="H11" s="15" t="inlineStr"/>
      <c r="I11" s="15" t="inlineStr">
        <is>
          <t>affinity-mcp-server</t>
        </is>
      </c>
      <c r="J11" s="15" t="inlineStr">
        <is>
          <t>affinity-setup</t>
        </is>
      </c>
      <c r="K11" s="15" t="inlineStr">
        <is>
          <t>setup</t>
        </is>
      </c>
    </row>
    <row r="12" ht="18" customHeight="1" s="12">
      <c r="A12" s="15" t="inlineStr"/>
      <c r="B12" s="15" t="inlineStr">
        <is>
          <t>Deal Pipeline</t>
        </is>
      </c>
      <c r="C12" s="15" t="inlineStr">
        <is>
          <t>Setup</t>
        </is>
      </c>
      <c r="D12" s="16">
        <f>HYPERLINK('Link Config'!$B$2&amp;"plugins/vc/tasks/affinity-setup.md","Set Up Affinity for Deal Pipelines")</f>
        <v/>
      </c>
      <c r="E12" s="15" t="inlineStr">
        <is>
          <t>Coordinate Affinity connection readiness, list discovery, read-preview policy, and optional write-back proposal scope for Deal Pipeline setup.</t>
        </is>
      </c>
      <c r="F12" s="16">
        <f>HYPERLINK('Link Config'!$B$2&amp;"plugins/vc/agents/vc-integration-operator.md","Integration Operator")</f>
        <v/>
      </c>
      <c r="G12" s="16">
        <f>HYPERLINK('Link Config'!$B$2&amp;"plugins/vc/skills/citation-enforcement/SKILL.md","citation-enforcement")</f>
        <v/>
      </c>
      <c r="H12" s="15" t="inlineStr"/>
      <c r="I12" s="15" t="inlineStr">
        <is>
          <t>affinity-mcp-server</t>
        </is>
      </c>
      <c r="J12" s="15" t="inlineStr">
        <is>
          <t>affinity-setup</t>
        </is>
      </c>
      <c r="K12" s="15" t="inlineStr">
        <is>
          <t>setup</t>
        </is>
      </c>
    </row>
    <row r="13" ht="30" customHeight="1" s="12">
      <c r="A13" s="15" t="inlineStr"/>
      <c r="B13" s="15" t="inlineStr">
        <is>
          <t>Deal Pipeline</t>
        </is>
      </c>
      <c r="C13" s="15" t="inlineStr">
        <is>
          <t>Setup</t>
        </is>
      </c>
      <c r="D13" s="16">
        <f>HYPERLINK('Link Config'!$B$2&amp;"plugins/vc/tasks/affinity-deal-room-import.md","Import Affinity Deal Pipeline Seed")</f>
        <v/>
      </c>
      <c r="E13" s="15" t="inlineStr">
        <is>
          <t>Import one approved Affinity seed deal into an already-created Deal Pipeline project with source provenance and approval evidence.</t>
        </is>
      </c>
      <c r="F13" s="16">
        <f>HYPERLINK('Link Config'!$B$2&amp;"plugins/vc/agents/vc-deal-room-setup-guide.md","Deal Pipeline Setup Guide")</f>
        <v/>
      </c>
      <c r="G13" s="16">
        <f>HYPERLINK('Link Config'!$B$2&amp;"plugins/vc/skills/vc-affinity-deal-room-import/SKILL.md","vc-affinity-deal-room-import")</f>
        <v/>
      </c>
      <c r="H13" s="15" t="inlineStr">
        <is>
          <t>None declared</t>
        </is>
      </c>
      <c r="I13" s="15" t="inlineStr">
        <is>
          <t>affinity-mcp-server
alludium-platform</t>
        </is>
      </c>
      <c r="J13" s="15" t="inlineStr">
        <is>
          <t>affinity-deal-room-import</t>
        </is>
      </c>
      <c r="K13" s="15" t="inlineStr">
        <is>
          <t>setup</t>
        </is>
      </c>
    </row>
    <row r="14" ht="30" customHeight="1" s="12">
      <c r="A14" s="15" t="inlineStr"/>
      <c r="B14" s="15" t="inlineStr">
        <is>
          <t>Deal Pipeline</t>
        </is>
      </c>
      <c r="C14" s="15" t="inlineStr">
        <is>
          <t>Setup</t>
        </is>
      </c>
      <c r="D14" s="16">
        <f>HYPERLINK('Link Config'!$B$2&amp;"plugins/vc/tasks/affinity-deal-room-import.md","Import Affinity Deal Pipeline Seed")</f>
        <v/>
      </c>
      <c r="E14" s="15" t="inlineStr">
        <is>
          <t>Import one approved Affinity seed deal into an already-created Deal Pipeline project with source provenance and approval evidence.</t>
        </is>
      </c>
      <c r="F14" s="16">
        <f>HYPERLINK('Link Config'!$B$2&amp;"plugins/vc/agents/vc-deal-room-setup-guide.md","Deal Pipeline Setup Guide")</f>
        <v/>
      </c>
      <c r="G14" s="16">
        <f>HYPERLINK('Link Config'!$B$2&amp;"plugins/vc/skills/vc-affinity-sync-read/SKILL.md","vc-affinity-sync-read")</f>
        <v/>
      </c>
      <c r="H14" s="15" t="inlineStr"/>
      <c r="I14" s="15" t="inlineStr">
        <is>
          <t>affinity-mcp-server
alludium-platform</t>
        </is>
      </c>
      <c r="J14" s="15" t="inlineStr">
        <is>
          <t>affinity-deal-room-import</t>
        </is>
      </c>
      <c r="K14" s="15" t="inlineStr">
        <is>
          <t>setup</t>
        </is>
      </c>
    </row>
    <row r="15" ht="30" customHeight="1" s="12">
      <c r="A15" s="15" t="inlineStr"/>
      <c r="B15" s="15" t="inlineStr">
        <is>
          <t>Deal Pipeline</t>
        </is>
      </c>
      <c r="C15" s="15" t="inlineStr">
        <is>
          <t>Setup</t>
        </is>
      </c>
      <c r="D15" s="16">
        <f>HYPERLINK('Link Config'!$B$2&amp;"plugins/vc/tasks/affinity-deal-room-import.md","Import Affinity Deal Pipeline Seed")</f>
        <v/>
      </c>
      <c r="E15" s="15" t="inlineStr">
        <is>
          <t>Import one approved Affinity seed deal into an already-created Deal Pipeline project with source provenance and approval evidence.</t>
        </is>
      </c>
      <c r="F15" s="16">
        <f>HYPERLINK('Link Config'!$B$2&amp;"plugins/vc/agents/vc-deal-room-setup-guide.md","Deal Pipeline Setup Guide")</f>
        <v/>
      </c>
      <c r="G15" s="16">
        <f>HYPERLINK('Link Config'!$B$2&amp;"plugins/vc/skills/deal-room-setup-and-source-ingestion/SKILL.md","deal-room-setup-and-source-ingestion")</f>
        <v/>
      </c>
      <c r="H15" s="15" t="inlineStr"/>
      <c r="I15" s="15" t="inlineStr">
        <is>
          <t>affinity-mcp-server
alludium-platform</t>
        </is>
      </c>
      <c r="J15" s="15" t="inlineStr">
        <is>
          <t>affinity-deal-room-import</t>
        </is>
      </c>
      <c r="K15" s="15" t="inlineStr">
        <is>
          <t>setup</t>
        </is>
      </c>
    </row>
    <row r="16" ht="30" customHeight="1" s="12">
      <c r="A16" s="15" t="inlineStr"/>
      <c r="B16" s="15" t="inlineStr">
        <is>
          <t>Deal Pipeline</t>
        </is>
      </c>
      <c r="C16" s="15" t="inlineStr">
        <is>
          <t>Setup</t>
        </is>
      </c>
      <c r="D16" s="16">
        <f>HYPERLINK('Link Config'!$B$2&amp;"plugins/vc/tasks/affinity-deal-room-import.md","Import Affinity Deal Pipeline Seed")</f>
        <v/>
      </c>
      <c r="E16" s="15" t="inlineStr">
        <is>
          <t>Import one approved Affinity seed deal into an already-created Deal Pipeline project with source provenance and approval evidence.</t>
        </is>
      </c>
      <c r="F16" s="16">
        <f>HYPERLINK('Link Config'!$B$2&amp;"plugins/vc/agents/vc-deal-room-setup-guide.md","Deal Pipeline Setup Guide")</f>
        <v/>
      </c>
      <c r="G16" s="16">
        <f>HYPERLINK('Link Config'!$B$2&amp;"plugins/vc/skills/citation-enforcement/SKILL.md","citation-enforcement")</f>
        <v/>
      </c>
      <c r="H16" s="15" t="inlineStr"/>
      <c r="I16" s="15" t="inlineStr">
        <is>
          <t>affinity-mcp-server
alludium-platform</t>
        </is>
      </c>
      <c r="J16" s="15" t="inlineStr">
        <is>
          <t>affinity-deal-room-import</t>
        </is>
      </c>
      <c r="K16" s="15" t="inlineStr">
        <is>
          <t>setup</t>
        </is>
      </c>
    </row>
    <row r="17" ht="150" customHeight="1" s="12">
      <c r="A17" s="15" t="inlineStr"/>
      <c r="B17" s="15" t="inlineStr">
        <is>
          <t>Deal Pipeline</t>
        </is>
      </c>
      <c r="C17" s="15" t="inlineStr">
        <is>
          <t>General</t>
        </is>
      </c>
      <c r="D17" s="16">
        <f>HYPERLINK('Link Config'!$B$2&amp;"plugins/vc/tasks/prepare-initial-call.md","Prepare Meeting")</f>
        <v/>
      </c>
      <c r="E17" s="15" t="inlineStr">
        <is>
          <t>Prepare a founder, management, advisor, customer, expert, partner, IC, legal, or closing meeting for one venture-capital opportunity with evidence capture, human review gates, and next-action recommendations.</t>
        </is>
      </c>
      <c r="F17" s="16">
        <f>HYPERLINK('Link Config'!$B$2&amp;"plugins/vc/agents/vc-meeting-operator.md","Meeting Operator")</f>
        <v/>
      </c>
      <c r="G17" s="16">
        <f>HYPERLINK('Link Config'!$B$2&amp;"plugins/vc/skills/meeting-prep-and-summary/SKILL.md","meeting-prep-and-summary")</f>
        <v/>
      </c>
      <c r="H17" s="16">
        <f>HYPERLINK('Link Config'!$B$2&amp;"plugins/vc/alludium/documents/deal-room/initial-call-brief-template.md","Initial Call Brief Template (output_template, to initial_call_brief_artifact_id)")</f>
        <v/>
      </c>
      <c r="I17" s="15" t="inlineStr">
        <is>
          <t>alludium-platform
harmonic-mcp-oauth
affinity-mcp-server
exa-mcp-hosted
brave-search-mcp
serpapi-mcp
firecrawl-mcp-hosted
dealroom-mcp
granola-mcp
google_drive</t>
        </is>
      </c>
      <c r="J17" s="15" t="inlineStr">
        <is>
          <t>prepare-initial-call</t>
        </is>
      </c>
      <c r="K17" s="15" t="inlineStr">
        <is>
          <t>general</t>
        </is>
      </c>
    </row>
    <row r="18" ht="150" customHeight="1" s="12">
      <c r="A18" s="15" t="inlineStr"/>
      <c r="B18" s="15" t="inlineStr">
        <is>
          <t>Deal Pipeline</t>
        </is>
      </c>
      <c r="C18" s="15" t="inlineStr">
        <is>
          <t>General</t>
        </is>
      </c>
      <c r="D18" s="16">
        <f>HYPERLINK('Link Config'!$B$2&amp;"plugins/vc/tasks/prepare-initial-call.md","Prepare Meeting")</f>
        <v/>
      </c>
      <c r="E18" s="15" t="inlineStr">
        <is>
          <t>Prepare a founder, management, advisor, customer, expert, partner, IC, legal, or closing meeting for one venture-capital opportunity with evidence capture, human review gates, and next-action recommendations.</t>
        </is>
      </c>
      <c r="F18" s="16">
        <f>HYPERLINK('Link Config'!$B$2&amp;"plugins/vc/agents/vc-meeting-operator.md","Meeting Operator")</f>
        <v/>
      </c>
      <c r="G18" s="16">
        <f>HYPERLINK('Link Config'!$B$2&amp;"plugins/vc/skills/company-research-and-enrichment/SKILL.md","company-research-and-enrichment")</f>
        <v/>
      </c>
      <c r="H18" s="16">
        <f>HYPERLINK('Link Config'!$B$2&amp;"plugins/vc/alludium/documents/shared/evidence-citation-style-guide.md","Evidence And Citation Style Guide (style_guide)")</f>
        <v/>
      </c>
      <c r="I18" s="15" t="inlineStr">
        <is>
          <t>alludium-platform
harmonic-mcp-oauth
affinity-mcp-server
exa-mcp-hosted
brave-search-mcp
serpapi-mcp
firecrawl-mcp-hosted
dealroom-mcp
granola-mcp
google_drive</t>
        </is>
      </c>
      <c r="J18" s="15" t="inlineStr">
        <is>
          <t>prepare-initial-call</t>
        </is>
      </c>
      <c r="K18" s="15" t="inlineStr">
        <is>
          <t>general</t>
        </is>
      </c>
    </row>
    <row r="19" ht="150" customHeight="1" s="12">
      <c r="A19" s="15" t="inlineStr"/>
      <c r="B19" s="15" t="inlineStr">
        <is>
          <t>Deal Pipeline</t>
        </is>
      </c>
      <c r="C19" s="15" t="inlineStr">
        <is>
          <t>General</t>
        </is>
      </c>
      <c r="D19" s="16">
        <f>HYPERLINK('Link Config'!$B$2&amp;"plugins/vc/tasks/prepare-initial-call.md","Prepare Meeting")</f>
        <v/>
      </c>
      <c r="E19" s="15" t="inlineStr">
        <is>
          <t>Prepare a founder, management, advisor, customer, expert, partner, IC, legal, or closing meeting for one venture-capital opportunity with evidence capture, human review gates, and next-action recommendations.</t>
        </is>
      </c>
      <c r="F19" s="16">
        <f>HYPERLINK('Link Config'!$B$2&amp;"plugins/vc/agents/vc-meeting-operator.md","Meeting Operator")</f>
        <v/>
      </c>
      <c r="G19" s="16">
        <f>HYPERLINK('Link Config'!$B$2&amp;"plugins/vc/skills/citation-enforcement/SKILL.md","citation-enforcement")</f>
        <v/>
      </c>
      <c r="H19" s="16">
        <f>HYPERLINK('Link Config'!$B$2&amp;"plugins/vc/alludium/documents/shared/template-use-guidance.md","Template Use Guidance (operating_guidance)")</f>
        <v/>
      </c>
      <c r="I19" s="15" t="inlineStr">
        <is>
          <t>alludium-platform
harmonic-mcp-oauth
affinity-mcp-server
exa-mcp-hosted
brave-search-mcp
serpapi-mcp
firecrawl-mcp-hosted
dealroom-mcp
granola-mcp
google_drive</t>
        </is>
      </c>
      <c r="J19" s="15" t="inlineStr">
        <is>
          <t>prepare-initial-call</t>
        </is>
      </c>
      <c r="K19" s="15" t="inlineStr">
        <is>
          <t>general</t>
        </is>
      </c>
    </row>
    <row r="20" ht="150" customHeight="1" s="12">
      <c r="A20" s="15" t="inlineStr"/>
      <c r="B20" s="15" t="inlineStr">
        <is>
          <t>Deal Pipeline</t>
        </is>
      </c>
      <c r="C20" s="15" t="inlineStr">
        <is>
          <t>General</t>
        </is>
      </c>
      <c r="D20" s="16">
        <f>HYPERLINK('Link Config'!$B$2&amp;"plugins/vc/tasks/prepare-initial-call.md","Prepare Meeting")</f>
        <v/>
      </c>
      <c r="E20" s="15" t="inlineStr">
        <is>
          <t>Prepare a founder, management, advisor, customer, expert, partner, IC, legal, or closing meeting for one venture-capital opportunity with evidence capture, human review gates, and next-action recommendations.</t>
        </is>
      </c>
      <c r="F20" s="16">
        <f>HYPERLINK('Link Config'!$B$2&amp;"plugins/vc/agents/vc-meeting-operator.md","Meeting Operator")</f>
        <v/>
      </c>
      <c r="G20" s="16">
        <f>HYPERLINK('Link Config'!$B$2&amp;"plugins/vc/skills/pitch-deck-explainer/SKILL.md","pitch-deck-explainer")</f>
        <v/>
      </c>
      <c r="H20" s="15" t="inlineStr"/>
      <c r="I20" s="15" t="inlineStr">
        <is>
          <t>alludium-platform
harmonic-mcp-oauth
affinity-mcp-server
exa-mcp-hosted
brave-search-mcp
serpapi-mcp
firecrawl-mcp-hosted
dealroom-mcp
granola-mcp
google_drive</t>
        </is>
      </c>
      <c r="J20" s="15" t="inlineStr">
        <is>
          <t>prepare-initial-call</t>
        </is>
      </c>
      <c r="K20" s="15" t="inlineStr">
        <is>
          <t>general</t>
        </is>
      </c>
    </row>
    <row r="21" ht="135" customHeight="1" s="12">
      <c r="A21" s="15" t="inlineStr">
        <is>
          <t>Alex</t>
        </is>
      </c>
      <c r="B21" s="15" t="inlineStr">
        <is>
          <t>Deal Pipeline</t>
        </is>
      </c>
      <c r="C21" s="15" t="inlineStr">
        <is>
          <t>General</t>
        </is>
      </c>
      <c r="D21" s="16">
        <f>HYPERLINK('Link Config'!$B$2&amp;"plugins/vc/tasks/request-founder-materials.md","Request Founder Materials")</f>
        <v/>
      </c>
      <c r="E21" s="15" t="inlineStr">
        <is>
          <t>Request Founder Materials for one venture-capital opportunity with evidence capture, human review gates, and next-action recommendations.</t>
        </is>
      </c>
      <c r="F21" s="16">
        <f>HYPERLINK('Link Config'!$B$2&amp;"plugins/vc/agents/vc-dealflow-concierge.md","Dealflow Concierge")</f>
        <v/>
      </c>
      <c r="G21" s="16">
        <f>HYPERLINK('Link Config'!$B$2&amp;"plugins/vc/skills/citation-enforcement/SKILL.md","citation-enforcement")</f>
        <v/>
      </c>
      <c r="H21" s="16">
        <f>HYPERLINK('Link Config'!$B$2&amp;"plugins/vc/alludium/documents/deal-room/founder-materials-request-template.md","Founder Materials Request Template (output_template, to founder_materials_request_artifact_id)")</f>
        <v/>
      </c>
      <c r="I21" s="15" t="inlineStr">
        <is>
          <t>alludium-platform
harmonic-mcp-oauth
affinity-mcp-server
exa-mcp-hosted
brave-search-mcp
serpapi-mcp
firecrawl-mcp-hosted
dealroom-mcp
google_drive</t>
        </is>
      </c>
      <c r="J21" s="15" t="inlineStr">
        <is>
          <t>request-founder-materials</t>
        </is>
      </c>
      <c r="K21" s="15" t="inlineStr">
        <is>
          <t>general</t>
        </is>
      </c>
    </row>
    <row r="22" ht="135" customHeight="1" s="12">
      <c r="A22" s="15" t="inlineStr">
        <is>
          <t>Alex</t>
        </is>
      </c>
      <c r="B22" s="15" t="inlineStr">
        <is>
          <t>Deal Pipeline</t>
        </is>
      </c>
      <c r="C22" s="15" t="inlineStr">
        <is>
          <t>General</t>
        </is>
      </c>
      <c r="D22" s="16">
        <f>HYPERLINK('Link Config'!$B$2&amp;"plugins/vc/tasks/request-founder-materials.md","Request Founder Materials")</f>
        <v/>
      </c>
      <c r="E22" s="15" t="inlineStr">
        <is>
          <t>Request Founder Materials for one venture-capital opportunity with evidence capture, human review gates, and next-action recommendations.</t>
        </is>
      </c>
      <c r="F22" s="16">
        <f>HYPERLINK('Link Config'!$B$2&amp;"plugins/vc/agents/vc-dealflow-concierge.md","Dealflow Concierge")</f>
        <v/>
      </c>
      <c r="G22" s="16">
        <f>HYPERLINK('Link Config'!$B$2&amp;"plugins/vc/skills/founder-materials-request/SKILL.md","founder-materials-request")</f>
        <v/>
      </c>
      <c r="H22" s="16">
        <f>HYPERLINK('Link Config'!$B$2&amp;"plugins/vc/alludium/documents/shared/file-naming-source-index-sop.md","File Naming And Source Index SOP (operating_guidance)")</f>
        <v/>
      </c>
      <c r="I22" s="15" t="inlineStr">
        <is>
          <t>alludium-platform
harmonic-mcp-oauth
affinity-mcp-server
exa-mcp-hosted
brave-search-mcp
serpapi-mcp
firecrawl-mcp-hosted
dealroom-mcp
google_drive</t>
        </is>
      </c>
      <c r="J22" s="15" t="inlineStr">
        <is>
          <t>request-founder-materials</t>
        </is>
      </c>
      <c r="K22" s="15" t="inlineStr">
        <is>
          <t>general</t>
        </is>
      </c>
    </row>
    <row r="23" ht="135" customHeight="1" s="12">
      <c r="A23" s="15" t="inlineStr">
        <is>
          <t>Alex</t>
        </is>
      </c>
      <c r="B23" s="15" t="inlineStr">
        <is>
          <t>Deal Pipeline</t>
        </is>
      </c>
      <c r="C23" s="15" t="inlineStr">
        <is>
          <t>General</t>
        </is>
      </c>
      <c r="D23" s="16">
        <f>HYPERLINK('Link Config'!$B$2&amp;"plugins/vc/tasks/request-founder-materials.md","Request Founder Materials")</f>
        <v/>
      </c>
      <c r="E23" s="15" t="inlineStr">
        <is>
          <t>Request Founder Materials for one venture-capital opportunity with evidence capture, human review gates, and next-action recommendations.</t>
        </is>
      </c>
      <c r="F23" s="16">
        <f>HYPERLINK('Link Config'!$B$2&amp;"plugins/vc/agents/vc-dealflow-concierge.md","Dealflow Concierge")</f>
        <v/>
      </c>
      <c r="G23" s="15" t="inlineStr"/>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google_drive</t>
        </is>
      </c>
      <c r="J23" s="15" t="inlineStr">
        <is>
          <t>request-founder-materials</t>
        </is>
      </c>
      <c r="K23" s="15" t="inlineStr">
        <is>
          <t>general</t>
        </is>
      </c>
    </row>
    <row r="24" ht="150" customHeight="1" s="12">
      <c r="A24" s="15" t="inlineStr">
        <is>
          <t>Alex</t>
        </is>
      </c>
      <c r="B24" s="15" t="inlineStr">
        <is>
          <t>Deal Pipeline</t>
        </is>
      </c>
      <c r="C24" s="15" t="inlineStr">
        <is>
          <t>General</t>
        </is>
      </c>
      <c r="D24" s="16">
        <f>HYPERLINK('Link Config'!$B$2&amp;"plugins/vc/tasks/summarize-initial-call.md","Summarize Meeting Records")</f>
        <v/>
      </c>
      <c r="E24" s="15" t="inlineStr">
        <is>
          <t>Summarize or ingest meeting records for one venture-capital opportunity with evidence capture, human review gates, and next-action recommendations.</t>
        </is>
      </c>
      <c r="F24" s="16">
        <f>HYPERLINK('Link Config'!$B$2&amp;"plugins/vc/agents/vc-meeting-operator.md","Meeting Operator")</f>
        <v/>
      </c>
      <c r="G24" s="16">
        <f>HYPERLINK('Link Config'!$B$2&amp;"plugins/vc/skills/meeting-prep-and-summary/SKILL.md","meeting-prep-and-summary")</f>
        <v/>
      </c>
      <c r="H24" s="16">
        <f>HYPERLINK('Link Config'!$B$2&amp;"plugins/vc/alludium/documents/deal-room/customer-insights-summary-template.md","Customer Insights Summary Template (output_template, to customer_insights_artifact_id)")</f>
        <v/>
      </c>
      <c r="I24" s="15" t="inlineStr">
        <is>
          <t>alludium-platform
harmonic-mcp-oauth
affinity-mcp-server
exa-mcp-hosted
brave-search-mcp
serpapi-mcp
firecrawl-mcp-hosted
dealroom-mcp
granola-mcp
google_drive</t>
        </is>
      </c>
      <c r="J24" s="15" t="inlineStr">
        <is>
          <t>summarize-initial-call</t>
        </is>
      </c>
      <c r="K24" s="15" t="inlineStr">
        <is>
          <t>general</t>
        </is>
      </c>
    </row>
    <row r="25" ht="150" customHeight="1" s="12">
      <c r="A25" s="15" t="inlineStr">
        <is>
          <t>Alex</t>
        </is>
      </c>
      <c r="B25" s="15" t="inlineStr">
        <is>
          <t>Deal Pipeline</t>
        </is>
      </c>
      <c r="C25" s="15" t="inlineStr">
        <is>
          <t>General</t>
        </is>
      </c>
      <c r="D25" s="16">
        <f>HYPERLINK('Link Config'!$B$2&amp;"plugins/vc/tasks/summarize-initial-call.md","Summarize Meeting Records")</f>
        <v/>
      </c>
      <c r="E25" s="15" t="inlineStr">
        <is>
          <t>Summarize or ingest meeting records for one venture-capital opportunity with evidence capture, human review gates, and next-action recommendations.</t>
        </is>
      </c>
      <c r="F25" s="16">
        <f>HYPERLINK('Link Config'!$B$2&amp;"plugins/vc/agents/vc-meeting-operator.md","Meeting Operator")</f>
        <v/>
      </c>
      <c r="G25" s="16">
        <f>HYPERLINK('Link Config'!$B$2&amp;"plugins/vc/skills/citation-enforcement/SKILL.md","citation-enforcement")</f>
        <v/>
      </c>
      <c r="H25" s="16">
        <f>HYPERLINK('Link Config'!$B$2&amp;"plugins/vc/alludium/documents/shared/evidence-citation-style-guide.md","Evidence And Citation Style Guide (style_guide)")</f>
        <v/>
      </c>
      <c r="I25" s="15" t="inlineStr">
        <is>
          <t>alludium-platform
harmonic-mcp-oauth
affinity-mcp-server
exa-mcp-hosted
brave-search-mcp
serpapi-mcp
firecrawl-mcp-hosted
dealroom-mcp
granola-mcp
google_drive</t>
        </is>
      </c>
      <c r="J25" s="15" t="inlineStr">
        <is>
          <t>summarize-initial-call</t>
        </is>
      </c>
      <c r="K25" s="15" t="inlineStr">
        <is>
          <t>general</t>
        </is>
      </c>
    </row>
    <row r="26" ht="150" customHeight="1" s="12">
      <c r="A26" s="15" t="inlineStr">
        <is>
          <t>Alex</t>
        </is>
      </c>
      <c r="B26" s="15" t="inlineStr">
        <is>
          <t>Deal Pipeline</t>
        </is>
      </c>
      <c r="C26" s="15" t="inlineStr">
        <is>
          <t>General</t>
        </is>
      </c>
      <c r="D26" s="16">
        <f>HYPERLINK('Link Config'!$B$2&amp;"plugins/vc/tasks/summarize-initial-call.md","Summarize Meeting Records")</f>
        <v/>
      </c>
      <c r="E26" s="15" t="inlineStr">
        <is>
          <t>Summarize or ingest meeting records for one venture-capital opportunity with evidence capture, human review gates, and next-action recommendations.</t>
        </is>
      </c>
      <c r="F26" s="16">
        <f>HYPERLINK('Link Config'!$B$2&amp;"plugins/vc/agents/vc-meeting-operator.md","Meeting Operator")</f>
        <v/>
      </c>
      <c r="G26" s="16">
        <f>HYPERLINK('Link Config'!$B$2&amp;"plugins/vc/skills/vc-task-and-next-step-generation/SKILL.md","vc-task-and-next-step-generation")</f>
        <v/>
      </c>
      <c r="H26" s="16">
        <f>HYPERLINK('Link Config'!$B$2&amp;"plugins/vc/alludium/documents/shared/template-use-guidance.md","Template Use Guidance (operating_guidance)")</f>
        <v/>
      </c>
      <c r="I26" s="15" t="inlineStr">
        <is>
          <t>alludium-platform
harmonic-mcp-oauth
affinity-mcp-server
exa-mcp-hosted
brave-search-mcp
serpapi-mcp
firecrawl-mcp-hosted
dealroom-mcp
granola-mcp
google_drive</t>
        </is>
      </c>
      <c r="J26" s="15" t="inlineStr">
        <is>
          <t>summarize-initial-call</t>
        </is>
      </c>
      <c r="K26" s="15" t="inlineStr">
        <is>
          <t>general</t>
        </is>
      </c>
    </row>
    <row r="27" ht="90" customHeight="1" s="12">
      <c r="A27" s="15" t="inlineStr"/>
      <c r="B27" s="15" t="inlineStr">
        <is>
          <t>Deal Pipeline</t>
        </is>
      </c>
      <c r="C27" s="15" t="inlineStr">
        <is>
          <t>General</t>
        </is>
      </c>
      <c r="D27" s="16">
        <f>HYPERLINK('Link Config'!$B$2&amp;"plugins/vc/tasks/review-opportunity-status.md","Review Opportunity Status")</f>
        <v/>
      </c>
      <c r="E27" s="15" t="inlineStr">
        <is>
          <t>Review the current status of one venture-capital opportunity and suggest missing inputs, stage movement, and next tasks without producing a formal investment evaluation document.</t>
        </is>
      </c>
      <c r="F27" s="16">
        <f>HYPERLINK('Link Config'!$B$2&amp;"plugins/vc/agents/vc-pipeline-autopilot.md","Pipeline Autopilot")</f>
        <v/>
      </c>
      <c r="G27" s="16">
        <f>HYPERLINK('Link Config'!$B$2&amp;"plugins/vc/skills/citation-enforcement/SKILL.md","citation-enforcement")</f>
        <v/>
      </c>
      <c r="H27" s="16">
        <f>HYPERLINK('Link Config'!$B$2&amp;"plugins/vc/alludium/documents/deal-room/deal-room-sop.md","Deal Pipeline Operating SOP (operating_guidance)")</f>
        <v/>
      </c>
      <c r="I27" s="15" t="inlineStr">
        <is>
          <t>alludium-platform
affinity-mcp-server
exa-mcp-hosted
brave-search-mcp
serpapi-mcp
dealroom-mcp</t>
        </is>
      </c>
      <c r="J27" s="15" t="inlineStr">
        <is>
          <t>review-opportunity-status</t>
        </is>
      </c>
      <c r="K27" s="15" t="inlineStr">
        <is>
          <t>general</t>
        </is>
      </c>
    </row>
    <row r="28" ht="90" customHeight="1" s="12">
      <c r="A28" s="15" t="inlineStr"/>
      <c r="B28" s="15" t="inlineStr">
        <is>
          <t>Deal Pipeline</t>
        </is>
      </c>
      <c r="C28" s="15" t="inlineStr">
        <is>
          <t>General</t>
        </is>
      </c>
      <c r="D28" s="16">
        <f>HYPERLINK('Link Config'!$B$2&amp;"plugins/vc/tasks/review-opportunity-status.md","Review Opportunity Status")</f>
        <v/>
      </c>
      <c r="E28" s="15" t="inlineStr">
        <is>
          <t>Review the current status of one venture-capital opportunity and suggest missing inputs, stage movement, and next tasks without producing a formal investment evaluation document.</t>
        </is>
      </c>
      <c r="F28" s="16">
        <f>HYPERLINK('Link Config'!$B$2&amp;"plugins/vc/agents/vc-pipeline-autopilot.md","Pipeline Autopilot")</f>
        <v/>
      </c>
      <c r="G28" s="16">
        <f>HYPERLINK('Link Config'!$B$2&amp;"plugins/vc/skills/vc-task-and-next-step-generation/SKILL.md","vc-task-and-next-step-generation")</f>
        <v/>
      </c>
      <c r="H28" s="16">
        <f>HYPERLINK('Link Config'!$B$2&amp;"plugins/vc/alludium/documents/shared/opportunity-evaluation-framework.md","Opportunity Evaluation Framework (methodology)")</f>
        <v/>
      </c>
      <c r="I28" s="15" t="inlineStr">
        <is>
          <t>alludium-platform
affinity-mcp-server
exa-mcp-hosted
brave-search-mcp
serpapi-mcp
dealroom-mcp</t>
        </is>
      </c>
      <c r="J28" s="15" t="inlineStr">
        <is>
          <t>review-opportunity-status</t>
        </is>
      </c>
      <c r="K28" s="15" t="inlineStr">
        <is>
          <t>general</t>
        </is>
      </c>
    </row>
    <row r="29" ht="90" customHeight="1" s="12">
      <c r="A29" s="15" t="inlineStr"/>
      <c r="B29" s="15" t="inlineStr">
        <is>
          <t>Deal Pipeline</t>
        </is>
      </c>
      <c r="C29" s="15" t="inlineStr">
        <is>
          <t>General</t>
        </is>
      </c>
      <c r="D29" s="16">
        <f>HYPERLINK('Link Config'!$B$2&amp;"plugins/vc/tasks/review-opportunity-status.md","Review Opportunity Status")</f>
        <v/>
      </c>
      <c r="E29" s="15" t="inlineStr">
        <is>
          <t>Review the current status of one venture-capital opportunity and suggest missing inputs, stage movement, and next tasks without producing a formal investment evaluation document.</t>
        </is>
      </c>
      <c r="F29" s="16">
        <f>HYPERLINK('Link Config'!$B$2&amp;"plugins/vc/agents/vc-pipeline-autopilot.md","Pipeline Autopilot")</f>
        <v/>
      </c>
      <c r="G29" s="15" t="inlineStr"/>
      <c r="H29" s="16">
        <f>HYPERLINK('Link Config'!$B$2&amp;"plugins/vc/alludium/documents/shared/evaluation-workstream-guide.md","Evaluation Workstream Guide (methodology)")</f>
        <v/>
      </c>
      <c r="I29" s="15" t="inlineStr">
        <is>
          <t>alludium-platform
affinity-mcp-server
exa-mcp-hosted
brave-search-mcp
serpapi-mcp
dealroom-mcp</t>
        </is>
      </c>
      <c r="J29" s="15" t="inlineStr">
        <is>
          <t>review-opportunity-status</t>
        </is>
      </c>
      <c r="K29" s="15" t="inlineStr">
        <is>
          <t>general</t>
        </is>
      </c>
    </row>
    <row r="30" ht="90" customHeight="1" s="12">
      <c r="A30" s="15" t="inlineStr"/>
      <c r="B30" s="15" t="inlineStr">
        <is>
          <t>Deal Pipeline</t>
        </is>
      </c>
      <c r="C30" s="15" t="inlineStr">
        <is>
          <t>General</t>
        </is>
      </c>
      <c r="D30" s="16">
        <f>HYPERLINK('Link Config'!$B$2&amp;"plugins/vc/tasks/review-opportunity-status.md","Review Opportunity Status")</f>
        <v/>
      </c>
      <c r="E30" s="15" t="inlineStr">
        <is>
          <t>Review the current status of one venture-capital opportunity and suggest missing inputs, stage movement, and next tasks without producing a formal investment evaluation document.</t>
        </is>
      </c>
      <c r="F30" s="16">
        <f>HYPERLINK('Link Config'!$B$2&amp;"plugins/vc/agents/vc-pipeline-autopilot.md","Pipeline Autopilot")</f>
        <v/>
      </c>
      <c r="G30" s="15" t="inlineStr"/>
      <c r="H30" s="16">
        <f>HYPERLINK('Link Config'!$B$2&amp;"plugins/vc/alludium/documents/shared/evidence-citation-style-guide.md","Evidence And Citation Style Guide (style_guide)")</f>
        <v/>
      </c>
      <c r="I30" s="15" t="inlineStr">
        <is>
          <t>alludium-platform
affinity-mcp-server
exa-mcp-hosted
brave-search-mcp
serpapi-mcp
dealroom-mcp</t>
        </is>
      </c>
      <c r="J30" s="15" t="inlineStr">
        <is>
          <t>review-opportunity-status</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5" t="inlineStr"/>
      <c r="H31" s="16">
        <f>HYPERLINK('Link Config'!$B$2&amp;"plugins/vc/alludium/documents/shared/template-use-guidance.md","Template Use Guidance (operating_guidance)")</f>
        <v/>
      </c>
      <c r="I31" s="15" t="inlineStr">
        <is>
          <t>alludium-platform
affinity-mcp-server
exa-mcp-hosted
brave-search-mcp
serpapi-mcp
dealroom-mcp</t>
        </is>
      </c>
      <c r="J31" s="15" t="inlineStr">
        <is>
          <t>review-opportunity-status</t>
        </is>
      </c>
      <c r="K31" s="15" t="inlineStr">
        <is>
          <t>general</t>
        </is>
      </c>
    </row>
    <row r="32" ht="18" customHeight="1" s="12">
      <c r="A32" s="15" t="inlineStr"/>
      <c r="B32" s="15" t="inlineStr">
        <is>
          <t>Deal Pipeline</t>
        </is>
      </c>
      <c r="C32" s="15" t="inlineStr">
        <is>
          <t>Management</t>
        </is>
      </c>
      <c r="D32" s="16">
        <f>HYPERLINK('Link Config'!$B$2&amp;"plugins/vc/tasks/affinity-sync-read.md","Preview Affinity Pipeline Import")</f>
        <v/>
      </c>
      <c r="E32" s="15" t="inlineStr">
        <is>
          <t>Preview selected Affinity opportunity, company, person, note, and list-entry data before importing it into Deal Pipeline context.</t>
        </is>
      </c>
      <c r="F32" s="16">
        <f>HYPERLINK('Link Config'!$B$2&amp;"plugins/vc/agents/vc-integration-operator.md","Integration Operator")</f>
        <v/>
      </c>
      <c r="G32" s="16">
        <f>HYPERLINK('Link Config'!$B$2&amp;"plugins/vc/skills/vc-affinity-sync-read/SKILL.md","vc-affinity-sync-read")</f>
        <v/>
      </c>
      <c r="H32" s="15" t="inlineStr">
        <is>
          <t>None declared</t>
        </is>
      </c>
      <c r="I32" s="15" t="inlineStr">
        <is>
          <t>None declared</t>
        </is>
      </c>
      <c r="J32" s="15" t="inlineStr">
        <is>
          <t>affinity-sync-read</t>
        </is>
      </c>
      <c r="K32" s="15" t="inlineStr">
        <is>
          <t>project_management</t>
        </is>
      </c>
    </row>
    <row r="33" ht="18" customHeight="1" s="12">
      <c r="A33" s="15" t="inlineStr"/>
      <c r="B33" s="15" t="inlineStr">
        <is>
          <t>Deal Pipeline</t>
        </is>
      </c>
      <c r="C33" s="15" t="inlineStr">
        <is>
          <t>Management</t>
        </is>
      </c>
      <c r="D33" s="16">
        <f>HYPERLINK('Link Config'!$B$2&amp;"plugins/vc/tasks/affinity-sync-read.md","Preview Affinity Pipeline Import")</f>
        <v/>
      </c>
      <c r="E33" s="15" t="inlineStr">
        <is>
          <t>Preview selected Affinity opportunity, company, person, note, and list-entry data before importing it into Deal Pipeline context.</t>
        </is>
      </c>
      <c r="F33" s="16">
        <f>HYPERLINK('Link Config'!$B$2&amp;"plugins/vc/agents/vc-integration-operator.md","Integration Operator")</f>
        <v/>
      </c>
      <c r="G33" s="16">
        <f>HYPERLINK('Link Config'!$B$2&amp;"plugins/vc/skills/citation-enforcement/SKILL.md","citation-enforcement")</f>
        <v/>
      </c>
      <c r="H33" s="15" t="inlineStr"/>
      <c r="I33" s="15" t="inlineStr">
        <is>
          <t>None declared</t>
        </is>
      </c>
      <c r="J33" s="15" t="inlineStr">
        <is>
          <t>affinity-sync-read</t>
        </is>
      </c>
      <c r="K33" s="15" t="inlineStr">
        <is>
          <t>project_management</t>
        </is>
      </c>
    </row>
    <row r="34" ht="18" customHeight="1" s="12">
      <c r="A34" s="15" t="inlineStr"/>
      <c r="B34" s="15" t="inlineStr">
        <is>
          <t>Deal Pipeline</t>
        </is>
      </c>
      <c r="C34" s="15" t="inlineStr">
        <is>
          <t>Management</t>
        </is>
      </c>
      <c r="D34" s="16">
        <f>HYPERLINK('Link Config'!$B$2&amp;"plugins/vc/tasks/affinity-sync-write.md","Draft Affinity Write-Back Proposals")</f>
        <v/>
      </c>
      <c r="E34" s="15" t="inlineStr">
        <is>
          <t>Draft reviewable Affinity note, field, and stage update proposals from VC task outputs.</t>
        </is>
      </c>
      <c r="F34" s="16">
        <f>HYPERLINK('Link Config'!$B$2&amp;"plugins/vc/agents/vc-integration-operator.md","Integration Operator")</f>
        <v/>
      </c>
      <c r="G34" s="16">
        <f>HYPERLINK('Link Config'!$B$2&amp;"plugins/vc/skills/vc-affinity-sync-write/SKILL.md","vc-affinity-sync-write")</f>
        <v/>
      </c>
      <c r="H34" s="15" t="inlineStr">
        <is>
          <t>None declared</t>
        </is>
      </c>
      <c r="I34" s="15" t="inlineStr">
        <is>
          <t>None declared</t>
        </is>
      </c>
      <c r="J34" s="15" t="inlineStr">
        <is>
          <t>affinity-sync-write</t>
        </is>
      </c>
      <c r="K34" s="15" t="inlineStr">
        <is>
          <t>project_management</t>
        </is>
      </c>
    </row>
    <row r="35" ht="18" customHeight="1" s="12">
      <c r="A35" s="15" t="inlineStr"/>
      <c r="B35" s="15" t="inlineStr">
        <is>
          <t>Deal Pipeline</t>
        </is>
      </c>
      <c r="C35" s="15" t="inlineStr">
        <is>
          <t>Management</t>
        </is>
      </c>
      <c r="D35" s="16">
        <f>HYPERLINK('Link Config'!$B$2&amp;"plugins/vc/tasks/affinity-sync-write.md","Draft Affinity Write-Back Proposals")</f>
        <v/>
      </c>
      <c r="E35" s="15" t="inlineStr">
        <is>
          <t>Draft reviewable Affinity note, field, and stage update proposals from VC task outputs.</t>
        </is>
      </c>
      <c r="F35" s="16">
        <f>HYPERLINK('Link Config'!$B$2&amp;"plugins/vc/agents/vc-integration-operator.md","Integration Operator")</f>
        <v/>
      </c>
      <c r="G35" s="16">
        <f>HYPERLINK('Link Config'!$B$2&amp;"plugins/vc/skills/citation-enforcement/SKILL.md","citation-enforcement")</f>
        <v/>
      </c>
      <c r="H35" s="15" t="inlineStr"/>
      <c r="I35" s="15" t="inlineStr">
        <is>
          <t>None declared</t>
        </is>
      </c>
      <c r="J35" s="15" t="inlineStr">
        <is>
          <t>affinity-sync-write</t>
        </is>
      </c>
      <c r="K35" s="15" t="inlineStr">
        <is>
          <t>project_management</t>
        </is>
      </c>
    </row>
    <row r="36" ht="18" customHeight="1" s="12">
      <c r="A36" s="15" t="inlineStr"/>
      <c r="B36" s="15" t="inlineStr">
        <is>
          <t>Deal Pipeline</t>
        </is>
      </c>
      <c r="C36" s="15" t="inlineStr">
        <is>
          <t>Management</t>
        </is>
      </c>
      <c r="D36" s="16">
        <f>HYPERLINK('Link Config'!$B$2&amp;"plugins/vc/tasks/google-drive-sync-write.md","Draft Google Drive File Proposals")</f>
        <v/>
      </c>
      <c r="E36" s="15" t="inlineStr">
        <is>
          <t>Draft reviewable Google Drive file or comment proposals from VC task outputs without performing broad Drive mutations.</t>
        </is>
      </c>
      <c r="F36" s="16">
        <f>HYPERLINK('Link Config'!$B$2&amp;"plugins/vc/agents/vc-integration-operator.md","Integration Operator")</f>
        <v/>
      </c>
      <c r="G36" s="16">
        <f>HYPERLINK('Link Config'!$B$2&amp;"plugins/vc/skills/vc-google-drive-sync-write/SKILL.md","vc-google-drive-sync-write")</f>
        <v/>
      </c>
      <c r="H36" s="15" t="inlineStr">
        <is>
          <t>None declared</t>
        </is>
      </c>
      <c r="I36" s="15" t="inlineStr">
        <is>
          <t>None declared</t>
        </is>
      </c>
      <c r="J36" s="15" t="inlineStr">
        <is>
          <t>google-drive-sync-write</t>
        </is>
      </c>
      <c r="K36" s="15" t="inlineStr">
        <is>
          <t>project_management</t>
        </is>
      </c>
    </row>
    <row r="37" ht="18" customHeight="1" s="12">
      <c r="A37" s="15" t="inlineStr"/>
      <c r="B37" s="15" t="inlineStr">
        <is>
          <t>Deal Pipeline</t>
        </is>
      </c>
      <c r="C37" s="15" t="inlineStr">
        <is>
          <t>Management</t>
        </is>
      </c>
      <c r="D37" s="16">
        <f>HYPERLINK('Link Config'!$B$2&amp;"plugins/vc/tasks/google-drive-sync-write.md","Draft Google Drive File Proposals")</f>
        <v/>
      </c>
      <c r="E37" s="15" t="inlineStr">
        <is>
          <t>Draft reviewable Google Drive file or comment proposals from VC task outputs without performing broad Drive mutations.</t>
        </is>
      </c>
      <c r="F37" s="16">
        <f>HYPERLINK('Link Config'!$B$2&amp;"plugins/vc/agents/vc-integration-operator.md","Integration Operator")</f>
        <v/>
      </c>
      <c r="G37" s="16">
        <f>HYPERLINK('Link Config'!$B$2&amp;"plugins/vc/skills/citation-enforcement/SKILL.md","citation-enforcement")</f>
        <v/>
      </c>
      <c r="H37" s="15" t="inlineStr"/>
      <c r="I37" s="15" t="inlineStr">
        <is>
          <t>None declared</t>
        </is>
      </c>
      <c r="J37" s="15" t="inlineStr">
        <is>
          <t>google-drive-sync-write</t>
        </is>
      </c>
      <c r="K37" s="15" t="inlineStr">
        <is>
          <t>project_management</t>
        </is>
      </c>
    </row>
    <row r="38" ht="18" customHeight="1" s="12">
      <c r="A38" s="15" t="inlineStr"/>
      <c r="B38" s="15" t="inlineStr">
        <is>
          <t>Deal Pipeline</t>
        </is>
      </c>
      <c r="C38" s="15" t="inlineStr">
        <is>
          <t>Management</t>
        </is>
      </c>
      <c r="D38" s="16">
        <f>HYPERLINK('Link Config'!$B$2&amp;"plugins/vc/tasks/notion-sync-write.md","Draft Notion Update Proposals")</f>
        <v/>
      </c>
      <c r="E38" s="15" t="inlineStr">
        <is>
          <t>Draft reviewable Notion page, database, or comment proposals from VC task outputs without performing broad workspace mutation.</t>
        </is>
      </c>
      <c r="F38" s="16">
        <f>HYPERLINK('Link Config'!$B$2&amp;"plugins/vc/agents/vc-integration-operator.md","Integration Operator")</f>
        <v/>
      </c>
      <c r="G38" s="16">
        <f>HYPERLINK('Link Config'!$B$2&amp;"plugins/vc/skills/vc-notion-sync-write/SKILL.md","vc-notion-sync-write")</f>
        <v/>
      </c>
      <c r="H38" s="15" t="inlineStr">
        <is>
          <t>None declared</t>
        </is>
      </c>
      <c r="I38" s="15" t="inlineStr">
        <is>
          <t>None declared</t>
        </is>
      </c>
      <c r="J38" s="15" t="inlineStr">
        <is>
          <t>notion-sync-write</t>
        </is>
      </c>
      <c r="K38" s="15" t="inlineStr">
        <is>
          <t>project_management</t>
        </is>
      </c>
    </row>
    <row r="39" ht="18" customHeight="1" s="12">
      <c r="A39" s="15" t="inlineStr"/>
      <c r="B39" s="15" t="inlineStr">
        <is>
          <t>Deal Pipeline</t>
        </is>
      </c>
      <c r="C39" s="15" t="inlineStr">
        <is>
          <t>Management</t>
        </is>
      </c>
      <c r="D39" s="16">
        <f>HYPERLINK('Link Config'!$B$2&amp;"plugins/vc/tasks/notion-sync-write.md","Draft Notion Update Proposals")</f>
        <v/>
      </c>
      <c r="E39" s="15" t="inlineStr">
        <is>
          <t>Draft reviewable Notion page, database, or comment proposals from VC task outputs without performing broad workspace mutation.</t>
        </is>
      </c>
      <c r="F39" s="16">
        <f>HYPERLINK('Link Config'!$B$2&amp;"plugins/vc/agents/vc-integration-operator.md","Integration Operator")</f>
        <v/>
      </c>
      <c r="G39" s="16">
        <f>HYPERLINK('Link Config'!$B$2&amp;"plugins/vc/skills/citation-enforcement/SKILL.md","citation-enforcement")</f>
        <v/>
      </c>
      <c r="H39" s="15" t="inlineStr"/>
      <c r="I39" s="15" t="inlineStr">
        <is>
          <t>None declared</t>
        </is>
      </c>
      <c r="J39" s="15" t="inlineStr">
        <is>
          <t>notion-sync-write</t>
        </is>
      </c>
      <c r="K39" s="15" t="inlineStr">
        <is>
          <t>project_management</t>
        </is>
      </c>
    </row>
    <row r="40" ht="18" customHeight="1" s="12">
      <c r="A40" s="15" t="inlineStr"/>
      <c r="B40" s="15" t="inlineStr">
        <is>
          <t>Deal Pipeline</t>
        </is>
      </c>
      <c r="C40" s="15" t="inlineStr">
        <is>
          <t>Management</t>
        </is>
      </c>
      <c r="D40" s="16">
        <f>HYPERLINK('Link Config'!$B$2&amp;"plugins/vc/tasks/slack-sync-write.md","Draft Slack Handoff Notifications")</f>
        <v/>
      </c>
      <c r="E40" s="15" t="inlineStr">
        <is>
          <t>Draft approved Slack handoff notifications for VC workflows without broad posting.</t>
        </is>
      </c>
      <c r="F40" s="16">
        <f>HYPERLINK('Link Config'!$B$2&amp;"plugins/vc/agents/vc-integration-operator.md","Integration Operator")</f>
        <v/>
      </c>
      <c r="G40" s="16">
        <f>HYPERLINK('Link Config'!$B$2&amp;"plugins/vc/skills/vc-slack-sync-write/SKILL.md","vc-slack-sync-write")</f>
        <v/>
      </c>
      <c r="H40" s="15" t="inlineStr">
        <is>
          <t>None declared</t>
        </is>
      </c>
      <c r="I40" s="15" t="inlineStr">
        <is>
          <t>None declared</t>
        </is>
      </c>
      <c r="J40" s="15" t="inlineStr">
        <is>
          <t>slack-sync-write</t>
        </is>
      </c>
      <c r="K40" s="15" t="inlineStr">
        <is>
          <t>project_management</t>
        </is>
      </c>
    </row>
    <row r="41" ht="18" customHeight="1" s="12">
      <c r="A41" s="15" t="inlineStr"/>
      <c r="B41" s="15" t="inlineStr">
        <is>
          <t>Deal Pipeline</t>
        </is>
      </c>
      <c r="C41" s="15" t="inlineStr">
        <is>
          <t>Management</t>
        </is>
      </c>
      <c r="D41" s="16">
        <f>HYPERLINK('Link Config'!$B$2&amp;"plugins/vc/tasks/slack-sync-write.md","Draft Slack Handoff Notifications")</f>
        <v/>
      </c>
      <c r="E41" s="15" t="inlineStr">
        <is>
          <t>Draft approved Slack handoff notifications for VC workflows without broad posting.</t>
        </is>
      </c>
      <c r="F41" s="16">
        <f>HYPERLINK('Link Config'!$B$2&amp;"plugins/vc/agents/vc-integration-operator.md","Integration Operator")</f>
        <v/>
      </c>
      <c r="G41" s="16">
        <f>HYPERLINK('Link Config'!$B$2&amp;"plugins/vc/skills/citation-enforcement/SKILL.md","citation-enforcement")</f>
        <v/>
      </c>
      <c r="H41" s="15" t="inlineStr"/>
      <c r="I41" s="15" t="inlineStr">
        <is>
          <t>None declared</t>
        </is>
      </c>
      <c r="J41" s="15" t="inlineStr">
        <is>
          <t>slack-sync-write</t>
        </is>
      </c>
      <c r="K41" s="15" t="inlineStr">
        <is>
          <t>project_management</t>
        </is>
      </c>
    </row>
    <row r="42" ht="18" customHeight="1" s="12">
      <c r="A42" s="15" t="inlineStr"/>
      <c r="B42" s="15" t="inlineStr">
        <is>
          <t>Deal Pipeline</t>
        </is>
      </c>
      <c r="C42" s="15" t="inlineStr">
        <is>
          <t>Management</t>
        </is>
      </c>
      <c r="D42" s="16">
        <f>HYPERLINK('Link Config'!$B$2&amp;"plugins/vc/tasks/affinity-discovery.md","Explore Affinity Lists and Stages")</f>
        <v/>
      </c>
      <c r="E42" s="15" t="inlineStr">
        <is>
          <t>Discover Affinity list, stage, field, and object-count scope before Deal Pipeline import or sync.</t>
        </is>
      </c>
      <c r="F42" s="16">
        <f>HYPERLINK('Link Config'!$B$2&amp;"plugins/vc/agents/vc-integration-operator.md","Integration Operator")</f>
        <v/>
      </c>
      <c r="G42" s="16">
        <f>HYPERLINK('Link Config'!$B$2&amp;"plugins/vc/skills/vc-affinity-discovery/SKILL.md","vc-affinity-discovery")</f>
        <v/>
      </c>
      <c r="H42" s="15" t="inlineStr">
        <is>
          <t>None declared</t>
        </is>
      </c>
      <c r="I42" s="15" t="inlineStr">
        <is>
          <t>None declared</t>
        </is>
      </c>
      <c r="J42" s="15" t="inlineStr">
        <is>
          <t>affinity-discovery</t>
        </is>
      </c>
      <c r="K42" s="15" t="inlineStr">
        <is>
          <t>project_management</t>
        </is>
      </c>
    </row>
    <row r="43" ht="18" customHeight="1" s="12">
      <c r="A43" s="15" t="inlineStr"/>
      <c r="B43" s="15" t="inlineStr">
        <is>
          <t>Deal Pipeline</t>
        </is>
      </c>
      <c r="C43" s="15" t="inlineStr">
        <is>
          <t>Management</t>
        </is>
      </c>
      <c r="D43" s="16">
        <f>HYPERLINK('Link Config'!$B$2&amp;"plugins/vc/tasks/affinity-discovery.md","Explore Affinity Lists and Stages")</f>
        <v/>
      </c>
      <c r="E43" s="15" t="inlineStr">
        <is>
          <t>Discover Affinity list, stage, field, and object-count scope before Deal Pipeline import or sync.</t>
        </is>
      </c>
      <c r="F43" s="16">
        <f>HYPERLINK('Link Config'!$B$2&amp;"plugins/vc/agents/vc-integration-operator.md","Integration Operator")</f>
        <v/>
      </c>
      <c r="G43" s="16">
        <f>HYPERLINK('Link Config'!$B$2&amp;"plugins/vc/skills/citation-enforcement/SKILL.md","citation-enforcement")</f>
        <v/>
      </c>
      <c r="H43" s="15" t="inlineStr"/>
      <c r="I43" s="15" t="inlineStr">
        <is>
          <t>None declared</t>
        </is>
      </c>
      <c r="J43" s="15" t="inlineStr">
        <is>
          <t>affinity-discovery</t>
        </is>
      </c>
      <c r="K43" s="15" t="inlineStr">
        <is>
          <t>project_management</t>
        </is>
      </c>
    </row>
    <row r="44" ht="18" customHeight="1" s="12">
      <c r="A44" s="15" t="inlineStr"/>
      <c r="B44" s="15" t="inlineStr">
        <is>
          <t>Deal Pipeline</t>
        </is>
      </c>
      <c r="C44" s="15" t="inlineStr">
        <is>
          <t>Management</t>
        </is>
      </c>
      <c r="D44" s="16">
        <f>HYPERLINK('Link Config'!$B$2&amp;"plugins/vc/tasks/google-drive-discovery.md","Explore Google Drive Sources")</f>
        <v/>
      </c>
      <c r="E44" s="15" t="inlineStr">
        <is>
          <t>Discover Google Drive shared drive, folder, and file scope before selected Deal Pipeline context reads.</t>
        </is>
      </c>
      <c r="F44" s="16">
        <f>HYPERLINK('Link Config'!$B$2&amp;"plugins/vc/agents/vc-integration-operator.md","Integration Operator")</f>
        <v/>
      </c>
      <c r="G44" s="16">
        <f>HYPERLINK('Link Config'!$B$2&amp;"plugins/vc/skills/vc-google-drive-discovery/SKILL.md","vc-google-drive-discovery")</f>
        <v/>
      </c>
      <c r="H44" s="15" t="inlineStr">
        <is>
          <t>None declared</t>
        </is>
      </c>
      <c r="I44" s="15" t="inlineStr">
        <is>
          <t>None declared</t>
        </is>
      </c>
      <c r="J44" s="15" t="inlineStr">
        <is>
          <t>google-drive-discovery</t>
        </is>
      </c>
      <c r="K44" s="15" t="inlineStr">
        <is>
          <t>project_management</t>
        </is>
      </c>
    </row>
    <row r="45" ht="18" customHeight="1" s="12">
      <c r="A45" s="15" t="inlineStr"/>
      <c r="B45" s="15" t="inlineStr">
        <is>
          <t>Deal Pipeline</t>
        </is>
      </c>
      <c r="C45" s="15" t="inlineStr">
        <is>
          <t>Management</t>
        </is>
      </c>
      <c r="D45" s="16">
        <f>HYPERLINK('Link Config'!$B$2&amp;"plugins/vc/tasks/google-drive-discovery.md","Explore Google Drive Sources")</f>
        <v/>
      </c>
      <c r="E45" s="15" t="inlineStr">
        <is>
          <t>Discover Google Drive shared drive, folder, and file scope before selected Deal Pipeline context reads.</t>
        </is>
      </c>
      <c r="F45" s="16">
        <f>HYPERLINK('Link Config'!$B$2&amp;"plugins/vc/agents/vc-integration-operator.md","Integration Operator")</f>
        <v/>
      </c>
      <c r="G45" s="16">
        <f>HYPERLINK('Link Config'!$B$2&amp;"plugins/vc/skills/citation-enforcement/SKILL.md","citation-enforcement")</f>
        <v/>
      </c>
      <c r="H45" s="15" t="inlineStr"/>
      <c r="I45" s="15" t="inlineStr">
        <is>
          <t>None declared</t>
        </is>
      </c>
      <c r="J45" s="15" t="inlineStr">
        <is>
          <t>google-drive-discovery</t>
        </is>
      </c>
      <c r="K45" s="15" t="inlineStr">
        <is>
          <t>project_management</t>
        </is>
      </c>
    </row>
    <row r="46" ht="18" customHeight="1" s="12">
      <c r="A46" s="15" t="inlineStr"/>
      <c r="B46" s="15" t="inlineStr">
        <is>
          <t>Deal Pipeline</t>
        </is>
      </c>
      <c r="C46" s="15" t="inlineStr">
        <is>
          <t>Management</t>
        </is>
      </c>
      <c r="D46" s="16">
        <f>HYPERLINK('Link Config'!$B$2&amp;"plugins/vc/tasks/harmonic-discovery.md","Explore Harmonic Source Scopes")</f>
        <v/>
      </c>
      <c r="E46" s="15" t="inlineStr">
        <is>
          <t>Discover Harmonic saved searches, daily searches, and source scope before selected VC sourcing context reads.</t>
        </is>
      </c>
      <c r="F46" s="16">
        <f>HYPERLINK('Link Config'!$B$2&amp;"plugins/vc/agents/vc-integration-operator.md","Integration Operator")</f>
        <v/>
      </c>
      <c r="G46" s="16">
        <f>HYPERLINK('Link Config'!$B$2&amp;"plugins/vc/skills/vc-harmonic-discovery/SKILL.md","vc-harmonic-discovery")</f>
        <v/>
      </c>
      <c r="H46" s="15" t="inlineStr">
        <is>
          <t>None declared</t>
        </is>
      </c>
      <c r="I46" s="15" t="inlineStr">
        <is>
          <t>None declared</t>
        </is>
      </c>
      <c r="J46" s="15" t="inlineStr">
        <is>
          <t>harmonic-discovery</t>
        </is>
      </c>
      <c r="K46" s="15" t="inlineStr">
        <is>
          <t>project_management</t>
        </is>
      </c>
    </row>
    <row r="47" ht="18" customHeight="1" s="12">
      <c r="A47" s="15" t="inlineStr"/>
      <c r="B47" s="15" t="inlineStr">
        <is>
          <t>Deal Pipeline</t>
        </is>
      </c>
      <c r="C47" s="15" t="inlineStr">
        <is>
          <t>Management</t>
        </is>
      </c>
      <c r="D47" s="16">
        <f>HYPERLINK('Link Config'!$B$2&amp;"plugins/vc/tasks/harmonic-discovery.md","Explore Harmonic Source Scopes")</f>
        <v/>
      </c>
      <c r="E47" s="15" t="inlineStr">
        <is>
          <t>Discover Harmonic saved searches, daily searches, and source scope before selected VC sourcing context reads.</t>
        </is>
      </c>
      <c r="F47" s="16">
        <f>HYPERLINK('Link Config'!$B$2&amp;"plugins/vc/agents/vc-integration-operator.md","Integration Operator")</f>
        <v/>
      </c>
      <c r="G47" s="16">
        <f>HYPERLINK('Link Config'!$B$2&amp;"plugins/vc/skills/citation-enforcement/SKILL.md","citation-enforcement")</f>
        <v/>
      </c>
      <c r="H47" s="15" t="inlineStr"/>
      <c r="I47" s="15" t="inlineStr">
        <is>
          <t>None declared</t>
        </is>
      </c>
      <c r="J47" s="15" t="inlineStr">
        <is>
          <t>harmonic-discovery</t>
        </is>
      </c>
      <c r="K47" s="15" t="inlineStr">
        <is>
          <t>project_management</t>
        </is>
      </c>
    </row>
    <row r="48" ht="18" customHeight="1" s="12">
      <c r="A48" s="15" t="inlineStr"/>
      <c r="B48" s="15" t="inlineStr">
        <is>
          <t>Deal Pipeline</t>
        </is>
      </c>
      <c r="C48" s="15" t="inlineStr">
        <is>
          <t>Management</t>
        </is>
      </c>
      <c r="D48" s="16">
        <f>HYPERLINK('Link Config'!$B$2&amp;"plugins/vc/tasks/notion-discovery.md","Explore Notion Pages and Databases")</f>
        <v/>
      </c>
      <c r="E48" s="15" t="inlineStr">
        <is>
          <t>Discover Notion page, database, and workspace scope before selected Deal Pipeline context reads.</t>
        </is>
      </c>
      <c r="F48" s="16">
        <f>HYPERLINK('Link Config'!$B$2&amp;"plugins/vc/agents/vc-integration-operator.md","Integration Operator")</f>
        <v/>
      </c>
      <c r="G48" s="16">
        <f>HYPERLINK('Link Config'!$B$2&amp;"plugins/vc/skills/vc-notion-discovery/SKILL.md","vc-notion-discovery")</f>
        <v/>
      </c>
      <c r="H48" s="15" t="inlineStr">
        <is>
          <t>None declared</t>
        </is>
      </c>
      <c r="I48" s="15" t="inlineStr">
        <is>
          <t>None declared</t>
        </is>
      </c>
      <c r="J48" s="15" t="inlineStr">
        <is>
          <t>notion-discovery</t>
        </is>
      </c>
      <c r="K48" s="15" t="inlineStr">
        <is>
          <t>project_management</t>
        </is>
      </c>
    </row>
    <row r="49" ht="18" customHeight="1" s="12">
      <c r="A49" s="15" t="inlineStr"/>
      <c r="B49" s="15" t="inlineStr">
        <is>
          <t>Deal Pipeline</t>
        </is>
      </c>
      <c r="C49" s="15" t="inlineStr">
        <is>
          <t>Management</t>
        </is>
      </c>
      <c r="D49" s="16">
        <f>HYPERLINK('Link Config'!$B$2&amp;"plugins/vc/tasks/notion-discovery.md","Explore Notion Pages and Databases")</f>
        <v/>
      </c>
      <c r="E49" s="15" t="inlineStr">
        <is>
          <t>Discover Notion page, database, and workspace scope before selected Deal Pipeline context reads.</t>
        </is>
      </c>
      <c r="F49" s="16">
        <f>HYPERLINK('Link Config'!$B$2&amp;"plugins/vc/agents/vc-integration-operator.md","Integration Operator")</f>
        <v/>
      </c>
      <c r="G49" s="16">
        <f>HYPERLINK('Link Config'!$B$2&amp;"plugins/vc/skills/citation-enforcement/SKILL.md","citation-enforcement")</f>
        <v/>
      </c>
      <c r="H49" s="15" t="inlineStr"/>
      <c r="I49" s="15" t="inlineStr">
        <is>
          <t>None declared</t>
        </is>
      </c>
      <c r="J49" s="15" t="inlineStr">
        <is>
          <t>notion-discovery</t>
        </is>
      </c>
      <c r="K49" s="15" t="inlineStr">
        <is>
          <t>project_management</t>
        </is>
      </c>
    </row>
    <row r="50" ht="18" customHeight="1" s="12">
      <c r="A50" s="15" t="inlineStr"/>
      <c r="B50" s="15" t="inlineStr">
        <is>
          <t>Deal Pipeline</t>
        </is>
      </c>
      <c r="C50" s="15" t="inlineStr">
        <is>
          <t>Management</t>
        </is>
      </c>
      <c r="D50" s="16">
        <f>HYPERLINK('Link Config'!$B$2&amp;"plugins/vc/tasks/slack-discovery.md","Explore Slack Channels for VC Context")</f>
        <v/>
      </c>
      <c r="E50" s="15" t="inlineStr">
        <is>
          <t>Discover Slack workspace and channel scope before selected VC context reads or handoff notifications.</t>
        </is>
      </c>
      <c r="F50" s="16">
        <f>HYPERLINK('Link Config'!$B$2&amp;"plugins/vc/agents/vc-integration-operator.md","Integration Operator")</f>
        <v/>
      </c>
      <c r="G50" s="16">
        <f>HYPERLINK('Link Config'!$B$2&amp;"plugins/vc/skills/vc-slack-discovery/SKILL.md","vc-slack-discovery")</f>
        <v/>
      </c>
      <c r="H50" s="15" t="inlineStr">
        <is>
          <t>None declared</t>
        </is>
      </c>
      <c r="I50" s="15" t="inlineStr">
        <is>
          <t>None declared</t>
        </is>
      </c>
      <c r="J50" s="15" t="inlineStr">
        <is>
          <t>slack-discovery</t>
        </is>
      </c>
      <c r="K50" s="15" t="inlineStr">
        <is>
          <t>project_management</t>
        </is>
      </c>
    </row>
    <row r="51" ht="18" customHeight="1" s="12">
      <c r="A51" s="15" t="inlineStr"/>
      <c r="B51" s="15" t="inlineStr">
        <is>
          <t>Deal Pipeline</t>
        </is>
      </c>
      <c r="C51" s="15" t="inlineStr">
        <is>
          <t>Management</t>
        </is>
      </c>
      <c r="D51" s="16">
        <f>HYPERLINK('Link Config'!$B$2&amp;"plugins/vc/tasks/slack-discovery.md","Explore Slack Channels for VC Context")</f>
        <v/>
      </c>
      <c r="E51" s="15" t="inlineStr">
        <is>
          <t>Discover Slack workspace and channel scope before selected VC context reads or handoff notifications.</t>
        </is>
      </c>
      <c r="F51" s="16">
        <f>HYPERLINK('Link Config'!$B$2&amp;"plugins/vc/agents/vc-integration-operator.md","Integration Operator")</f>
        <v/>
      </c>
      <c r="G51" s="16">
        <f>HYPERLINK('Link Config'!$B$2&amp;"plugins/vc/skills/citation-enforcement/SKILL.md","citation-enforcement")</f>
        <v/>
      </c>
      <c r="H51" s="15" t="inlineStr"/>
      <c r="I51" s="15" t="inlineStr">
        <is>
          <t>None declared</t>
        </is>
      </c>
      <c r="J51" s="15" t="inlineStr">
        <is>
          <t>slack-discovery</t>
        </is>
      </c>
      <c r="K51" s="15" t="inlineStr">
        <is>
          <t>project_management</t>
        </is>
      </c>
    </row>
    <row r="52" ht="90" customHeight="1" s="12">
      <c r="A52" s="15" t="inlineStr"/>
      <c r="B52" s="15" t="inlineStr">
        <is>
          <t>Deal Pipeline</t>
        </is>
      </c>
      <c r="C52" s="15" t="inlineStr">
        <is>
          <t>Management</t>
        </is>
      </c>
      <c r="D52" s="16">
        <f>HYPERLINK('Link Config'!$B$2&amp;"plugins/vc/tasks/prepare-deal-flow-agenda.md","Prepare Deal Flow Agenda")</f>
        <v/>
      </c>
      <c r="E52" s="15" t="inlineStr">
        <is>
          <t>Prepare Deal Flow Agenda for one venture-capital opportunity with evidence capture, human review gates, and next-action recommendations.</t>
        </is>
      </c>
      <c r="F52" s="16">
        <f>HYPERLINK('Link Config'!$B$2&amp;"plugins/vc/agents/vc-pipeline-autopilot.md","Pipeline Autopilot")</f>
        <v/>
      </c>
      <c r="G52" s="16">
        <f>HYPERLINK('Link Config'!$B$2&amp;"plugins/vc/skills/citation-enforcement/SKILL.md","citation-enforcement")</f>
        <v/>
      </c>
      <c r="H52" s="15" t="inlineStr">
        <is>
          <t>None declared</t>
        </is>
      </c>
      <c r="I52" s="15" t="inlineStr">
        <is>
          <t>alludium-platform
affinity-mcp-server
exa-mcp-hosted
brave-search-mcp
serpapi-mcp
dealroom-mcp</t>
        </is>
      </c>
      <c r="J52" s="15" t="inlineStr">
        <is>
          <t>prepare-deal-flow-agenda</t>
        </is>
      </c>
      <c r="K52" s="15" t="inlineStr">
        <is>
          <t>project_management</t>
        </is>
      </c>
    </row>
    <row r="53" ht="90" customHeight="1" s="12">
      <c r="A53" s="15" t="inlineStr"/>
      <c r="B53" s="15" t="inlineStr">
        <is>
          <t>Deal Pipeline</t>
        </is>
      </c>
      <c r="C53" s="15" t="inlineStr">
        <is>
          <t>Management</t>
        </is>
      </c>
      <c r="D53" s="16">
        <f>HYPERLINK('Link Config'!$B$2&amp;"plugins/vc/tasks/prepare-deal-flow-agenda.md","Prepare Deal Flow Agenda")</f>
        <v/>
      </c>
      <c r="E53" s="15" t="inlineStr">
        <is>
          <t>Prepare Deal Flow Agenda for one venture-capital opportunity with evidence capture, human review gates, and next-action recommendations.</t>
        </is>
      </c>
      <c r="F53" s="16">
        <f>HYPERLINK('Link Config'!$B$2&amp;"plugins/vc/agents/vc-pipeline-autopilot.md","Pipeline Autopilot")</f>
        <v/>
      </c>
      <c r="G53" s="16">
        <f>HYPERLINK('Link Config'!$B$2&amp;"plugins/vc/skills/vc-task-and-next-step-generation/SKILL.md","vc-task-and-next-step-generation")</f>
        <v/>
      </c>
      <c r="H53" s="15" t="inlineStr"/>
      <c r="I53" s="15" t="inlineStr">
        <is>
          <t>alludium-platform
affinity-mcp-server
exa-mcp-hosted
brave-search-mcp
serpapi-mcp
dealroom-mcp</t>
        </is>
      </c>
      <c r="J53" s="15" t="inlineStr">
        <is>
          <t>prepare-deal-flow-agenda</t>
        </is>
      </c>
      <c r="K53" s="15" t="inlineStr">
        <is>
          <t>project_management</t>
        </is>
      </c>
    </row>
    <row r="54" ht="18" customHeight="1" s="12">
      <c r="A54" s="15" t="inlineStr"/>
      <c r="B54" s="15" t="inlineStr">
        <is>
          <t>Deal Pipeline</t>
        </is>
      </c>
      <c r="C54" s="15" t="inlineStr">
        <is>
          <t>Management</t>
        </is>
      </c>
      <c r="D54" s="16">
        <f>HYPERLINK('Link Config'!$B$2&amp;"plugins/vc/tasks/google-drive-sync-read.md","Preview Google Drive Context")</f>
        <v/>
      </c>
      <c r="E54" s="15" t="inlineStr">
        <is>
          <t>Preview selected Google Drive file, folder, and document context before attaching or importing it into Deal Pipeline tasks.</t>
        </is>
      </c>
      <c r="F54" s="16">
        <f>HYPERLINK('Link Config'!$B$2&amp;"plugins/vc/agents/vc-integration-operator.md","Integration Operator")</f>
        <v/>
      </c>
      <c r="G54" s="16">
        <f>HYPERLINK('Link Config'!$B$2&amp;"plugins/vc/skills/vc-google-drive-sync-read/SKILL.md","vc-google-drive-sync-read")</f>
        <v/>
      </c>
      <c r="H54" s="15" t="inlineStr">
        <is>
          <t>None declared</t>
        </is>
      </c>
      <c r="I54" s="15" t="inlineStr">
        <is>
          <t>None declared</t>
        </is>
      </c>
      <c r="J54" s="15" t="inlineStr">
        <is>
          <t>google-drive-sync-read</t>
        </is>
      </c>
      <c r="K54" s="15" t="inlineStr">
        <is>
          <t>project_management</t>
        </is>
      </c>
    </row>
    <row r="55" ht="18" customHeight="1" s="12">
      <c r="A55" s="15" t="inlineStr"/>
      <c r="B55" s="15" t="inlineStr">
        <is>
          <t>Deal Pipeline</t>
        </is>
      </c>
      <c r="C55" s="15" t="inlineStr">
        <is>
          <t>Management</t>
        </is>
      </c>
      <c r="D55" s="16">
        <f>HYPERLINK('Link Config'!$B$2&amp;"plugins/vc/tasks/google-drive-sync-read.md","Preview Google Drive Context")</f>
        <v/>
      </c>
      <c r="E55" s="15" t="inlineStr">
        <is>
          <t>Preview selected Google Drive file, folder, and document context before attaching or importing it into Deal Pipeline tasks.</t>
        </is>
      </c>
      <c r="F55" s="16">
        <f>HYPERLINK('Link Config'!$B$2&amp;"plugins/vc/agents/vc-integration-operator.md","Integration Operator")</f>
        <v/>
      </c>
      <c r="G55" s="16">
        <f>HYPERLINK('Link Config'!$B$2&amp;"plugins/vc/skills/citation-enforcement/SKILL.md","citation-enforcement")</f>
        <v/>
      </c>
      <c r="H55" s="15" t="inlineStr"/>
      <c r="I55" s="15" t="inlineStr">
        <is>
          <t>None declared</t>
        </is>
      </c>
      <c r="J55" s="15" t="inlineStr">
        <is>
          <t>google-drive-sync-read</t>
        </is>
      </c>
      <c r="K55" s="15" t="inlineStr">
        <is>
          <t>project_management</t>
        </is>
      </c>
    </row>
    <row r="56" ht="18" customHeight="1" s="12">
      <c r="A56" s="15" t="inlineStr"/>
      <c r="B56" s="15" t="inlineStr">
        <is>
          <t>Deal Pipeline</t>
        </is>
      </c>
      <c r="C56" s="15" t="inlineStr">
        <is>
          <t>Management</t>
        </is>
      </c>
      <c r="D56" s="16">
        <f>HYPERLINK('Link Config'!$B$2&amp;"plugins/vc/tasks/harmonic-sync-read.md","Preview Harmonic Search Results")</f>
        <v/>
      </c>
      <c r="E56" s="15" t="inlineStr">
        <is>
          <t>Preview selected Harmonic company or saved-search results before using them as VC sourcing or screening context.</t>
        </is>
      </c>
      <c r="F56" s="16">
        <f>HYPERLINK('Link Config'!$B$2&amp;"plugins/vc/agents/vc-integration-operator.md","Integration Operator")</f>
        <v/>
      </c>
      <c r="G56" s="16">
        <f>HYPERLINK('Link Config'!$B$2&amp;"plugins/vc/skills/vc-harmonic-sync-read/SKILL.md","vc-harmonic-sync-read")</f>
        <v/>
      </c>
      <c r="H56" s="15" t="inlineStr">
        <is>
          <t>None declared</t>
        </is>
      </c>
      <c r="I56" s="15" t="inlineStr">
        <is>
          <t>None declared</t>
        </is>
      </c>
      <c r="J56" s="15" t="inlineStr">
        <is>
          <t>harmonic-sync-read</t>
        </is>
      </c>
      <c r="K56" s="15" t="inlineStr">
        <is>
          <t>project_management</t>
        </is>
      </c>
    </row>
    <row r="57" ht="18" customHeight="1" s="12">
      <c r="A57" s="15" t="inlineStr"/>
      <c r="B57" s="15" t="inlineStr">
        <is>
          <t>Deal Pipeline</t>
        </is>
      </c>
      <c r="C57" s="15" t="inlineStr">
        <is>
          <t>Management</t>
        </is>
      </c>
      <c r="D57" s="16">
        <f>HYPERLINK('Link Config'!$B$2&amp;"plugins/vc/tasks/harmonic-sync-read.md","Preview Harmonic Search Results")</f>
        <v/>
      </c>
      <c r="E57" s="15" t="inlineStr">
        <is>
          <t>Preview selected Harmonic company or saved-search results before using them as VC sourcing or screening context.</t>
        </is>
      </c>
      <c r="F57" s="16">
        <f>HYPERLINK('Link Config'!$B$2&amp;"plugins/vc/agents/vc-integration-operator.md","Integration Operator")</f>
        <v/>
      </c>
      <c r="G57" s="16">
        <f>HYPERLINK('Link Config'!$B$2&amp;"plugins/vc/skills/citation-enforcement/SKILL.md","citation-enforcement")</f>
        <v/>
      </c>
      <c r="H57" s="15" t="inlineStr"/>
      <c r="I57" s="15" t="inlineStr">
        <is>
          <t>None declared</t>
        </is>
      </c>
      <c r="J57" s="15" t="inlineStr">
        <is>
          <t>harmonic-sync-read</t>
        </is>
      </c>
      <c r="K57" s="15" t="inlineStr">
        <is>
          <t>project_management</t>
        </is>
      </c>
    </row>
    <row r="58" ht="18" customHeight="1" s="12">
      <c r="A58" s="15" t="inlineStr"/>
      <c r="B58" s="15" t="inlineStr">
        <is>
          <t>Deal Pipeline</t>
        </is>
      </c>
      <c r="C58" s="15" t="inlineStr">
        <is>
          <t>Management</t>
        </is>
      </c>
      <c r="D58" s="16">
        <f>HYPERLINK('Link Config'!$B$2&amp;"plugins/vc/tasks/notion-sync-read.md","Preview Notion Context")</f>
        <v/>
      </c>
      <c r="E58" s="15" t="inlineStr">
        <is>
          <t>Preview selected Notion page, block, property, and database content before attaching it to Deal Pipeline tasks.</t>
        </is>
      </c>
      <c r="F58" s="16">
        <f>HYPERLINK('Link Config'!$B$2&amp;"plugins/vc/agents/vc-integration-operator.md","Integration Operator")</f>
        <v/>
      </c>
      <c r="G58" s="16">
        <f>HYPERLINK('Link Config'!$B$2&amp;"plugins/vc/skills/vc-notion-sync-read/SKILL.md","vc-notion-sync-read")</f>
        <v/>
      </c>
      <c r="H58" s="15" t="inlineStr">
        <is>
          <t>None declared</t>
        </is>
      </c>
      <c r="I58" s="15" t="inlineStr">
        <is>
          <t>None declared</t>
        </is>
      </c>
      <c r="J58" s="15" t="inlineStr">
        <is>
          <t>notion-sync-read</t>
        </is>
      </c>
      <c r="K58" s="15" t="inlineStr">
        <is>
          <t>project_management</t>
        </is>
      </c>
    </row>
    <row r="59" ht="18" customHeight="1" s="12">
      <c r="A59" s="15" t="inlineStr"/>
      <c r="B59" s="15" t="inlineStr">
        <is>
          <t>Deal Pipeline</t>
        </is>
      </c>
      <c r="C59" s="15" t="inlineStr">
        <is>
          <t>Management</t>
        </is>
      </c>
      <c r="D59" s="16">
        <f>HYPERLINK('Link Config'!$B$2&amp;"plugins/vc/tasks/notion-sync-read.md","Preview Notion Context")</f>
        <v/>
      </c>
      <c r="E59" s="15" t="inlineStr">
        <is>
          <t>Preview selected Notion page, block, property, and database content before attaching it to Deal Pipeline tasks.</t>
        </is>
      </c>
      <c r="F59" s="16">
        <f>HYPERLINK('Link Config'!$B$2&amp;"plugins/vc/agents/vc-integration-operator.md","Integration Operator")</f>
        <v/>
      </c>
      <c r="G59" s="16">
        <f>HYPERLINK('Link Config'!$B$2&amp;"plugins/vc/skills/citation-enforcement/SKILL.md","citation-enforcement")</f>
        <v/>
      </c>
      <c r="H59" s="15" t="inlineStr"/>
      <c r="I59" s="15" t="inlineStr">
        <is>
          <t>None declared</t>
        </is>
      </c>
      <c r="J59" s="15" t="inlineStr">
        <is>
          <t>notion-sync-read</t>
        </is>
      </c>
      <c r="K59" s="15" t="inlineStr">
        <is>
          <t>project_management</t>
        </is>
      </c>
    </row>
    <row r="60" ht="18" customHeight="1" s="12">
      <c r="A60" s="15" t="inlineStr"/>
      <c r="B60" s="15" t="inlineStr">
        <is>
          <t>Deal Pipeline</t>
        </is>
      </c>
      <c r="C60" s="15" t="inlineStr">
        <is>
          <t>Management</t>
        </is>
      </c>
      <c r="D60" s="16">
        <f>HYPERLINK('Link Config'!$B$2&amp;"plugins/vc/tasks/slack-sync-read.md","Preview Slack Deal Context")</f>
        <v/>
      </c>
      <c r="E60" s="15" t="inlineStr">
        <is>
          <t>Preview selected Slack channel, thread, message, and file context for Deal Pipeline tasks.</t>
        </is>
      </c>
      <c r="F60" s="16">
        <f>HYPERLINK('Link Config'!$B$2&amp;"plugins/vc/agents/vc-integration-operator.md","Integration Operator")</f>
        <v/>
      </c>
      <c r="G60" s="16">
        <f>HYPERLINK('Link Config'!$B$2&amp;"plugins/vc/skills/vc-slack-sync-read/SKILL.md","vc-slack-sync-read")</f>
        <v/>
      </c>
      <c r="H60" s="15" t="inlineStr">
        <is>
          <t>None declared</t>
        </is>
      </c>
      <c r="I60" s="15" t="inlineStr">
        <is>
          <t>None declared</t>
        </is>
      </c>
      <c r="J60" s="15" t="inlineStr">
        <is>
          <t>slack-sync-read</t>
        </is>
      </c>
      <c r="K60" s="15" t="inlineStr">
        <is>
          <t>project_management</t>
        </is>
      </c>
    </row>
    <row r="61" ht="18" customHeight="1" s="12">
      <c r="A61" s="15" t="inlineStr"/>
      <c r="B61" s="15" t="inlineStr">
        <is>
          <t>Deal Pipeline</t>
        </is>
      </c>
      <c r="C61" s="15" t="inlineStr">
        <is>
          <t>Management</t>
        </is>
      </c>
      <c r="D61" s="16">
        <f>HYPERLINK('Link Config'!$B$2&amp;"plugins/vc/tasks/slack-sync-read.md","Preview Slack Deal Context")</f>
        <v/>
      </c>
      <c r="E61" s="15" t="inlineStr">
        <is>
          <t>Preview selected Slack channel, thread, message, and file context for Deal Pipeline tasks.</t>
        </is>
      </c>
      <c r="F61" s="16">
        <f>HYPERLINK('Link Config'!$B$2&amp;"plugins/vc/agents/vc-integration-operator.md","Integration Operator")</f>
        <v/>
      </c>
      <c r="G61" s="16">
        <f>HYPERLINK('Link Config'!$B$2&amp;"plugins/vc/skills/citation-enforcement/SKILL.md","citation-enforcement")</f>
        <v/>
      </c>
      <c r="H61" s="15" t="inlineStr"/>
      <c r="I61" s="15" t="inlineStr">
        <is>
          <t>None declared</t>
        </is>
      </c>
      <c r="J61" s="15" t="inlineStr">
        <is>
          <t>slack-sync-read</t>
        </is>
      </c>
      <c r="K61" s="15" t="inlineStr">
        <is>
          <t>project_management</t>
        </is>
      </c>
    </row>
    <row r="62" ht="18" customHeight="1" s="12">
      <c r="A62" s="15" t="inlineStr"/>
      <c r="B62" s="15" t="inlineStr">
        <is>
          <t>Deal Pipeline</t>
        </is>
      </c>
      <c r="C62" s="15" t="inlineStr">
        <is>
          <t>Management</t>
        </is>
      </c>
      <c r="D62" s="16">
        <f>HYPERLINK('Link Config'!$B$2&amp;"plugins/vc/tasks/google-drive-setup.md","Set Up Google Drive for Deal Pipelines")</f>
        <v/>
      </c>
      <c r="E62" s="15" t="inlineStr">
        <is>
          <t>Coordinate Google Drive connection readiness, folder discovery, read-preview policy, and optional file proposal scope for Deal Pipeline setup.</t>
        </is>
      </c>
      <c r="F62" s="16">
        <f>HYPERLINK('Link Config'!$B$2&amp;"plugins/vc/agents/vc-integration-operator.md","Integration Operator")</f>
        <v/>
      </c>
      <c r="G62" s="16">
        <f>HYPERLINK('Link Config'!$B$2&amp;"plugins/vc/skills/vc-google-drive-discovery/SKILL.md","vc-google-drive-discovery")</f>
        <v/>
      </c>
      <c r="H62" s="15" t="inlineStr">
        <is>
          <t>None declared</t>
        </is>
      </c>
      <c r="I62" s="15" t="inlineStr">
        <is>
          <t>google_drive</t>
        </is>
      </c>
      <c r="J62" s="15" t="inlineStr">
        <is>
          <t>google-drive-setup</t>
        </is>
      </c>
      <c r="K62" s="15" t="inlineStr">
        <is>
          <t>project_management</t>
        </is>
      </c>
    </row>
    <row r="63" ht="18" customHeight="1" s="12">
      <c r="A63" s="15" t="inlineStr"/>
      <c r="B63" s="15" t="inlineStr">
        <is>
          <t>Deal Pipeline</t>
        </is>
      </c>
      <c r="C63" s="15" t="inlineStr">
        <is>
          <t>Management</t>
        </is>
      </c>
      <c r="D63" s="16">
        <f>HYPERLINK('Link Config'!$B$2&amp;"plugins/vc/tasks/google-drive-setup.md","Set Up Google Drive for Deal Pipelines")</f>
        <v/>
      </c>
      <c r="E63" s="15" t="inlineStr">
        <is>
          <t>Coordinate Google Drive connection readiness, folder discovery, read-preview policy, and optional file proposal scope for Deal Pipeline setup.</t>
        </is>
      </c>
      <c r="F63" s="16">
        <f>HYPERLINK('Link Config'!$B$2&amp;"plugins/vc/agents/vc-integration-operator.md","Integration Operator")</f>
        <v/>
      </c>
      <c r="G63" s="16">
        <f>HYPERLINK('Link Config'!$B$2&amp;"plugins/vc/skills/vc-google-drive-sync-read/SKILL.md","vc-google-drive-sync-read")</f>
        <v/>
      </c>
      <c r="H63" s="15" t="inlineStr"/>
      <c r="I63" s="15" t="inlineStr">
        <is>
          <t>google_drive</t>
        </is>
      </c>
      <c r="J63" s="15" t="inlineStr">
        <is>
          <t>google-drive-setup</t>
        </is>
      </c>
      <c r="K63" s="15" t="inlineStr">
        <is>
          <t>project_management</t>
        </is>
      </c>
    </row>
    <row r="64" ht="18" customHeight="1" s="12">
      <c r="A64" s="15" t="inlineStr"/>
      <c r="B64" s="15" t="inlineStr">
        <is>
          <t>Deal Pipeline</t>
        </is>
      </c>
      <c r="C64" s="15" t="inlineStr">
        <is>
          <t>Management</t>
        </is>
      </c>
      <c r="D64" s="16">
        <f>HYPERLINK('Link Config'!$B$2&amp;"plugins/vc/tasks/google-drive-setup.md","Set Up Google Drive for Deal Pipelines")</f>
        <v/>
      </c>
      <c r="E64" s="15" t="inlineStr">
        <is>
          <t>Coordinate Google Drive connection readiness, folder discovery, read-preview policy, and optional file proposal scope for Deal Pipeline setup.</t>
        </is>
      </c>
      <c r="F64" s="16">
        <f>HYPERLINK('Link Config'!$B$2&amp;"plugins/vc/agents/vc-integration-operator.md","Integration Operator")</f>
        <v/>
      </c>
      <c r="G64" s="16">
        <f>HYPERLINK('Link Config'!$B$2&amp;"plugins/vc/skills/vc-google-drive-sync-write/SKILL.md","vc-google-drive-sync-write")</f>
        <v/>
      </c>
      <c r="H64" s="15" t="inlineStr"/>
      <c r="I64" s="15" t="inlineStr">
        <is>
          <t>google_drive</t>
        </is>
      </c>
      <c r="J64" s="15" t="inlineStr">
        <is>
          <t>google-drive-setup</t>
        </is>
      </c>
      <c r="K64" s="15" t="inlineStr">
        <is>
          <t>project_management</t>
        </is>
      </c>
    </row>
    <row r="65" ht="18" customHeight="1" s="12">
      <c r="A65" s="15" t="inlineStr"/>
      <c r="B65" s="15" t="inlineStr">
        <is>
          <t>Deal Pipeline</t>
        </is>
      </c>
      <c r="C65" s="15" t="inlineStr">
        <is>
          <t>Management</t>
        </is>
      </c>
      <c r="D65" s="16">
        <f>HYPERLINK('Link Config'!$B$2&amp;"plugins/vc/tasks/google-drive-setup.md","Set Up Google Drive for Deal Pipelines")</f>
        <v/>
      </c>
      <c r="E65" s="15" t="inlineStr">
        <is>
          <t>Coordinate Google Drive connection readiness, folder discovery, read-preview policy, and optional file proposal scope for Deal Pipeline setup.</t>
        </is>
      </c>
      <c r="F65" s="16">
        <f>HYPERLINK('Link Config'!$B$2&amp;"plugins/vc/agents/vc-integration-operator.md","Integration Operator")</f>
        <v/>
      </c>
      <c r="G65" s="16">
        <f>HYPERLINK('Link Config'!$B$2&amp;"plugins/vc/skills/citation-enforcement/SKILL.md","citation-enforcement")</f>
        <v/>
      </c>
      <c r="H65" s="15" t="inlineStr"/>
      <c r="I65" s="15" t="inlineStr">
        <is>
          <t>google_drive</t>
        </is>
      </c>
      <c r="J65" s="15" t="inlineStr">
        <is>
          <t>google-drive-setup</t>
        </is>
      </c>
      <c r="K65" s="15" t="inlineStr">
        <is>
          <t>project_management</t>
        </is>
      </c>
    </row>
    <row r="66" ht="18" customHeight="1" s="12">
      <c r="A66" s="15" t="inlineStr"/>
      <c r="B66" s="15" t="inlineStr">
        <is>
          <t>Deal Pipeline</t>
        </is>
      </c>
      <c r="C66" s="15" t="inlineStr">
        <is>
          <t>Management</t>
        </is>
      </c>
      <c r="D66" s="16">
        <f>HYPERLINK('Link Config'!$B$2&amp;"plugins/vc/tasks/harmonic-setup.md","Set Up Harmonic for Deal Pipelines")</f>
        <v/>
      </c>
      <c r="E66" s="15" t="inlineStr">
        <is>
          <t>Coordinate Harmonic connection readiness, saved-search discovery, and read-preview policy for Deal Pipeline setup.</t>
        </is>
      </c>
      <c r="F66" s="16">
        <f>HYPERLINK('Link Config'!$B$2&amp;"plugins/vc/agents/vc-integration-operator.md","Integration Operator")</f>
        <v/>
      </c>
      <c r="G66" s="16">
        <f>HYPERLINK('Link Config'!$B$2&amp;"plugins/vc/skills/vc-harmonic-discovery/SKILL.md","vc-harmonic-discovery")</f>
        <v/>
      </c>
      <c r="H66" s="15" t="inlineStr">
        <is>
          <t>None declared</t>
        </is>
      </c>
      <c r="I66" s="15" t="inlineStr">
        <is>
          <t>harmonic-mcp-oauth</t>
        </is>
      </c>
      <c r="J66" s="15" t="inlineStr">
        <is>
          <t>harmonic-setup</t>
        </is>
      </c>
      <c r="K66" s="15" t="inlineStr">
        <is>
          <t>project_management</t>
        </is>
      </c>
    </row>
    <row r="67" ht="18" customHeight="1" s="12">
      <c r="A67" s="15" t="inlineStr"/>
      <c r="B67" s="15" t="inlineStr">
        <is>
          <t>Deal Pipeline</t>
        </is>
      </c>
      <c r="C67" s="15" t="inlineStr">
        <is>
          <t>Management</t>
        </is>
      </c>
      <c r="D67" s="16">
        <f>HYPERLINK('Link Config'!$B$2&amp;"plugins/vc/tasks/harmonic-setup.md","Set Up Harmonic for Deal Pipelines")</f>
        <v/>
      </c>
      <c r="E67" s="15" t="inlineStr">
        <is>
          <t>Coordinate Harmonic connection readiness, saved-search discovery, and read-preview policy for Deal Pipeline setup.</t>
        </is>
      </c>
      <c r="F67" s="16">
        <f>HYPERLINK('Link Config'!$B$2&amp;"plugins/vc/agents/vc-integration-operator.md","Integration Operator")</f>
        <v/>
      </c>
      <c r="G67" s="16">
        <f>HYPERLINK('Link Config'!$B$2&amp;"plugins/vc/skills/vc-harmonic-sync-read/SKILL.md","vc-harmonic-sync-read")</f>
        <v/>
      </c>
      <c r="H67" s="15" t="inlineStr"/>
      <c r="I67" s="15" t="inlineStr">
        <is>
          <t>harmonic-mcp-oauth</t>
        </is>
      </c>
      <c r="J67" s="15" t="inlineStr">
        <is>
          <t>harmonic-setup</t>
        </is>
      </c>
      <c r="K67" s="15" t="inlineStr">
        <is>
          <t>project_management</t>
        </is>
      </c>
    </row>
    <row r="68" ht="18" customHeight="1" s="12">
      <c r="A68" s="15" t="inlineStr"/>
      <c r="B68" s="15" t="inlineStr">
        <is>
          <t>Deal Pipeline</t>
        </is>
      </c>
      <c r="C68" s="15" t="inlineStr">
        <is>
          <t>Management</t>
        </is>
      </c>
      <c r="D68" s="16">
        <f>HYPERLINK('Link Config'!$B$2&amp;"plugins/vc/tasks/harmonic-setup.md","Set Up Harmonic for Deal Pipelines")</f>
        <v/>
      </c>
      <c r="E68" s="15" t="inlineStr">
        <is>
          <t>Coordinate Harmonic connection readiness, saved-search discovery, and read-preview policy for Deal Pipeline setup.</t>
        </is>
      </c>
      <c r="F68" s="16">
        <f>HYPERLINK('Link Config'!$B$2&amp;"plugins/vc/agents/vc-integration-operator.md","Integration Operator")</f>
        <v/>
      </c>
      <c r="G68" s="16">
        <f>HYPERLINK('Link Config'!$B$2&amp;"plugins/vc/skills/citation-enforcement/SKILL.md","citation-enforcement")</f>
        <v/>
      </c>
      <c r="H68" s="15" t="inlineStr"/>
      <c r="I68" s="15" t="inlineStr">
        <is>
          <t>harmonic-mcp-oauth</t>
        </is>
      </c>
      <c r="J68" s="15" t="inlineStr">
        <is>
          <t>harmonic-setup</t>
        </is>
      </c>
      <c r="K68" s="15" t="inlineStr">
        <is>
          <t>project_management</t>
        </is>
      </c>
    </row>
    <row r="69" ht="18" customHeight="1" s="12">
      <c r="A69" s="15" t="inlineStr"/>
      <c r="B69" s="15" t="inlineStr">
        <is>
          <t>Deal Pipeline</t>
        </is>
      </c>
      <c r="C69" s="15" t="inlineStr">
        <is>
          <t>Management</t>
        </is>
      </c>
      <c r="D69" s="16">
        <f>HYPERLINK('Link Config'!$B$2&amp;"plugins/vc/tasks/notion-setup.md","Set Up Notion for Deal Pipelines")</f>
        <v/>
      </c>
      <c r="E69" s="15" t="inlineStr">
        <is>
          <t>Coordinate Notion connection readiness, page/database discovery, read-preview policy, and optional update-proposal scope for Deal Pipeline setup.</t>
        </is>
      </c>
      <c r="F69" s="16">
        <f>HYPERLINK('Link Config'!$B$2&amp;"plugins/vc/agents/vc-integration-operator.md","Integration Operator")</f>
        <v/>
      </c>
      <c r="G69" s="16">
        <f>HYPERLINK('Link Config'!$B$2&amp;"plugins/vc/skills/vc-notion-discovery/SKILL.md","vc-notion-discovery")</f>
        <v/>
      </c>
      <c r="H69" s="15" t="inlineStr">
        <is>
          <t>None declared</t>
        </is>
      </c>
      <c r="I69" s="15" t="inlineStr">
        <is>
          <t>notion</t>
        </is>
      </c>
      <c r="J69" s="15" t="inlineStr">
        <is>
          <t>notion-setup</t>
        </is>
      </c>
      <c r="K69" s="15" t="inlineStr">
        <is>
          <t>project_management</t>
        </is>
      </c>
    </row>
    <row r="70" ht="18" customHeight="1" s="12">
      <c r="A70" s="15" t="inlineStr"/>
      <c r="B70" s="15" t="inlineStr">
        <is>
          <t>Deal Pipeline</t>
        </is>
      </c>
      <c r="C70" s="15" t="inlineStr">
        <is>
          <t>Management</t>
        </is>
      </c>
      <c r="D70" s="16">
        <f>HYPERLINK('Link Config'!$B$2&amp;"plugins/vc/tasks/notion-setup.md","Set Up Notion for Deal Pipelines")</f>
        <v/>
      </c>
      <c r="E70" s="15" t="inlineStr">
        <is>
          <t>Coordinate Notion connection readiness, page/database discovery, read-preview policy, and optional update-proposal scope for Deal Pipeline setup.</t>
        </is>
      </c>
      <c r="F70" s="16">
        <f>HYPERLINK('Link Config'!$B$2&amp;"plugins/vc/agents/vc-integration-operator.md","Integration Operator")</f>
        <v/>
      </c>
      <c r="G70" s="16">
        <f>HYPERLINK('Link Config'!$B$2&amp;"plugins/vc/skills/vc-notion-sync-read/SKILL.md","vc-notion-sync-read")</f>
        <v/>
      </c>
      <c r="H70" s="15" t="inlineStr"/>
      <c r="I70" s="15" t="inlineStr">
        <is>
          <t>notion</t>
        </is>
      </c>
      <c r="J70" s="15" t="inlineStr">
        <is>
          <t>notion-setup</t>
        </is>
      </c>
      <c r="K70" s="15" t="inlineStr">
        <is>
          <t>project_management</t>
        </is>
      </c>
    </row>
    <row r="71" ht="18" customHeight="1" s="12">
      <c r="A71" s="15" t="inlineStr"/>
      <c r="B71" s="15" t="inlineStr">
        <is>
          <t>Deal Pipeline</t>
        </is>
      </c>
      <c r="C71" s="15" t="inlineStr">
        <is>
          <t>Management</t>
        </is>
      </c>
      <c r="D71" s="16">
        <f>HYPERLINK('Link Config'!$B$2&amp;"plugins/vc/tasks/notion-setup.md","Set Up Notion for Deal Pipelines")</f>
        <v/>
      </c>
      <c r="E71" s="15" t="inlineStr">
        <is>
          <t>Coordinate Notion connection readiness, page/database discovery, read-preview policy, and optional update-proposal scope for Deal Pipeline setup.</t>
        </is>
      </c>
      <c r="F71" s="16">
        <f>HYPERLINK('Link Config'!$B$2&amp;"plugins/vc/agents/vc-integration-operator.md","Integration Operator")</f>
        <v/>
      </c>
      <c r="G71" s="16">
        <f>HYPERLINK('Link Config'!$B$2&amp;"plugins/vc/skills/vc-notion-sync-write/SKILL.md","vc-notion-sync-write")</f>
        <v/>
      </c>
      <c r="H71" s="15" t="inlineStr"/>
      <c r="I71" s="15" t="inlineStr">
        <is>
          <t>notion</t>
        </is>
      </c>
      <c r="J71" s="15" t="inlineStr">
        <is>
          <t>notion-setup</t>
        </is>
      </c>
      <c r="K71" s="15" t="inlineStr">
        <is>
          <t>project_management</t>
        </is>
      </c>
    </row>
    <row r="72" ht="18" customHeight="1" s="12">
      <c r="A72" s="15" t="inlineStr"/>
      <c r="B72" s="15" t="inlineStr">
        <is>
          <t>Deal Pipeline</t>
        </is>
      </c>
      <c r="C72" s="15" t="inlineStr">
        <is>
          <t>Management</t>
        </is>
      </c>
      <c r="D72" s="16">
        <f>HYPERLINK('Link Config'!$B$2&amp;"plugins/vc/tasks/notion-setup.md","Set Up Notion for Deal Pipelines")</f>
        <v/>
      </c>
      <c r="E72" s="15" t="inlineStr">
        <is>
          <t>Coordinate Notion connection readiness, page/database discovery, read-preview policy, and optional update-proposal scope for Deal Pipeline setup.</t>
        </is>
      </c>
      <c r="F72" s="16">
        <f>HYPERLINK('Link Config'!$B$2&amp;"plugins/vc/agents/vc-integration-operator.md","Integration Operator")</f>
        <v/>
      </c>
      <c r="G72" s="16">
        <f>HYPERLINK('Link Config'!$B$2&amp;"plugins/vc/skills/citation-enforcement/SKILL.md","citation-enforcement")</f>
        <v/>
      </c>
      <c r="H72" s="15" t="inlineStr"/>
      <c r="I72" s="15" t="inlineStr">
        <is>
          <t>notion</t>
        </is>
      </c>
      <c r="J72" s="15" t="inlineStr">
        <is>
          <t>notion-setup</t>
        </is>
      </c>
      <c r="K72" s="15" t="inlineStr">
        <is>
          <t>project_management</t>
        </is>
      </c>
    </row>
    <row r="73" ht="18" customHeight="1" s="12">
      <c r="A73" s="15" t="inlineStr"/>
      <c r="B73" s="15" t="inlineStr">
        <is>
          <t>Deal Pipeline</t>
        </is>
      </c>
      <c r="C73" s="15" t="inlineStr">
        <is>
          <t>Management</t>
        </is>
      </c>
      <c r="D73" s="16">
        <f>HYPERLINK('Link Config'!$B$2&amp;"plugins/vc/tasks/slack-setup.md","Set Up Slack for Deal Pipelines")</f>
        <v/>
      </c>
      <c r="E73" s="15" t="inlineStr">
        <is>
          <t>Coordinate Slack connection readiness, channel discovery, read-preview policy, and optional notification proposal scope for Deal Pipeline setup.</t>
        </is>
      </c>
      <c r="F73" s="16">
        <f>HYPERLINK('Link Config'!$B$2&amp;"plugins/vc/agents/vc-integration-operator.md","Integration Operator")</f>
        <v/>
      </c>
      <c r="G73" s="16">
        <f>HYPERLINK('Link Config'!$B$2&amp;"plugins/vc/skills/vc-slack-discovery/SKILL.md","vc-slack-discovery")</f>
        <v/>
      </c>
      <c r="H73" s="15" t="inlineStr">
        <is>
          <t>None declared</t>
        </is>
      </c>
      <c r="I73" s="15" t="inlineStr">
        <is>
          <t>slack_v2</t>
        </is>
      </c>
      <c r="J73" s="15" t="inlineStr">
        <is>
          <t>slack-setup</t>
        </is>
      </c>
      <c r="K73" s="15" t="inlineStr">
        <is>
          <t>project_management</t>
        </is>
      </c>
    </row>
    <row r="74" ht="18" customHeight="1" s="12">
      <c r="A74" s="15" t="inlineStr"/>
      <c r="B74" s="15" t="inlineStr">
        <is>
          <t>Deal Pipeline</t>
        </is>
      </c>
      <c r="C74" s="15" t="inlineStr">
        <is>
          <t>Management</t>
        </is>
      </c>
      <c r="D74" s="16">
        <f>HYPERLINK('Link Config'!$B$2&amp;"plugins/vc/tasks/slack-setup.md","Set Up Slack for Deal Pipelines")</f>
        <v/>
      </c>
      <c r="E74" s="15" t="inlineStr">
        <is>
          <t>Coordinate Slack connection readiness, channel discovery, read-preview policy, and optional notification proposal scope for Deal Pipeline setup.</t>
        </is>
      </c>
      <c r="F74" s="16">
        <f>HYPERLINK('Link Config'!$B$2&amp;"plugins/vc/agents/vc-integration-operator.md","Integration Operator")</f>
        <v/>
      </c>
      <c r="G74" s="16">
        <f>HYPERLINK('Link Config'!$B$2&amp;"plugins/vc/skills/vc-slack-sync-read/SKILL.md","vc-slack-sync-read")</f>
        <v/>
      </c>
      <c r="H74" s="15" t="inlineStr"/>
      <c r="I74" s="15" t="inlineStr">
        <is>
          <t>slack_v2</t>
        </is>
      </c>
      <c r="J74" s="15" t="inlineStr">
        <is>
          <t>slack-setup</t>
        </is>
      </c>
      <c r="K74" s="15" t="inlineStr">
        <is>
          <t>project_management</t>
        </is>
      </c>
    </row>
    <row r="75" ht="18" customHeight="1" s="12">
      <c r="A75" s="15" t="inlineStr"/>
      <c r="B75" s="15" t="inlineStr">
        <is>
          <t>Deal Pipeline</t>
        </is>
      </c>
      <c r="C75" s="15" t="inlineStr">
        <is>
          <t>Management</t>
        </is>
      </c>
      <c r="D75" s="16">
        <f>HYPERLINK('Link Config'!$B$2&amp;"plugins/vc/tasks/slack-setup.md","Set Up Slack for Deal Pipelines")</f>
        <v/>
      </c>
      <c r="E75" s="15" t="inlineStr">
        <is>
          <t>Coordinate Slack connection readiness, channel discovery, read-preview policy, and optional notification proposal scope for Deal Pipeline setup.</t>
        </is>
      </c>
      <c r="F75" s="16">
        <f>HYPERLINK('Link Config'!$B$2&amp;"plugins/vc/agents/vc-integration-operator.md","Integration Operator")</f>
        <v/>
      </c>
      <c r="G75" s="16">
        <f>HYPERLINK('Link Config'!$B$2&amp;"plugins/vc/skills/vc-slack-sync-write/SKILL.md","vc-slack-sync-write")</f>
        <v/>
      </c>
      <c r="H75" s="15" t="inlineStr"/>
      <c r="I75" s="15" t="inlineStr">
        <is>
          <t>slack_v2</t>
        </is>
      </c>
      <c r="J75" s="15" t="inlineStr">
        <is>
          <t>slack-setup</t>
        </is>
      </c>
      <c r="K75" s="15" t="inlineStr">
        <is>
          <t>project_management</t>
        </is>
      </c>
    </row>
    <row r="76" ht="18" customHeight="1" s="12">
      <c r="A76" s="15" t="inlineStr"/>
      <c r="B76" s="15" t="inlineStr">
        <is>
          <t>Deal Pipeline</t>
        </is>
      </c>
      <c r="C76" s="15" t="inlineStr">
        <is>
          <t>Management</t>
        </is>
      </c>
      <c r="D76" s="16">
        <f>HYPERLINK('Link Config'!$B$2&amp;"plugins/vc/tasks/slack-setup.md","Set Up Slack for Deal Pipelines")</f>
        <v/>
      </c>
      <c r="E76" s="15" t="inlineStr">
        <is>
          <t>Coordinate Slack connection readiness, channel discovery, read-preview policy, and optional notification proposal scope for Deal Pipeline setup.</t>
        </is>
      </c>
      <c r="F76" s="16">
        <f>HYPERLINK('Link Config'!$B$2&amp;"plugins/vc/agents/vc-integration-operator.md","Integration Operator")</f>
        <v/>
      </c>
      <c r="G76" s="16">
        <f>HYPERLINK('Link Config'!$B$2&amp;"plugins/vc/skills/citation-enforcement/SKILL.md","citation-enforcement")</f>
        <v/>
      </c>
      <c r="H76" s="15" t="inlineStr"/>
      <c r="I76" s="15" t="inlineStr">
        <is>
          <t>slack_v2</t>
        </is>
      </c>
      <c r="J76" s="15" t="inlineStr">
        <is>
          <t>slack-setup</t>
        </is>
      </c>
      <c r="K76" s="15" t="inlineStr">
        <is>
          <t>project_management</t>
        </is>
      </c>
    </row>
    <row r="77" ht="135" customHeight="1" s="12">
      <c r="A77" s="15" t="inlineStr">
        <is>
          <t>Alex</t>
        </is>
      </c>
      <c r="B77" s="15" t="inlineStr">
        <is>
          <t>Deal Pipeline</t>
        </is>
      </c>
      <c r="C77" s="15" t="inlineStr">
        <is>
          <t>Intake</t>
        </is>
      </c>
      <c r="D77" s="16">
        <f>HYPERLINK('Link Config'!$B$2&amp;"plugins/vc/tasks/screen-inbound-opportunity.md","Capture Opportunity Intake")</f>
        <v/>
      </c>
      <c r="E77" s="15" t="inlineStr">
        <is>
          <t>Capture source context, known fields, missing information, and guided project-creation values for one venture-capital opportunity before formal screening.</t>
        </is>
      </c>
      <c r="F77" s="16">
        <f>HYPERLINK('Link Config'!$B$2&amp;"plugins/vc/agents/vc-dealflow-concierge.md","Dealflow Concierge")</f>
        <v/>
      </c>
      <c r="G77" s="16">
        <f>HYPERLINK('Link Config'!$B$2&amp;"plugins/vc/skills/deal-room-setup-and-source-ingestion/SKILL.md","deal-room-setup-and-source-ingestion")</f>
        <v/>
      </c>
      <c r="H77" s="16">
        <f>HYPERLINK('Link Config'!$B$2&amp;"plugins/vc/alludium/documents/deal-room/deal-room-sop.md","Deal Pipeline Operating SOP (operating_guidance)")</f>
        <v/>
      </c>
      <c r="I77" s="15" t="inlineStr">
        <is>
          <t>alludium-platform
harmonic-mcp-oauth
affinity-mcp-server
exa-mcp-hosted
brave-search-mcp
serpapi-mcp
firecrawl-mcp-hosted
dealroom-mcp
google_drive</t>
        </is>
      </c>
      <c r="J77" s="15" t="inlineStr">
        <is>
          <t>screen-inbound-opportunity</t>
        </is>
      </c>
      <c r="K77" s="15" t="inlineStr">
        <is>
          <t>project_instance</t>
        </is>
      </c>
    </row>
    <row r="78" ht="135" customHeight="1" s="12">
      <c r="A78" s="15" t="inlineStr">
        <is>
          <t>Alex</t>
        </is>
      </c>
      <c r="B78" s="15" t="inlineStr">
        <is>
          <t>Deal Pipeline</t>
        </is>
      </c>
      <c r="C78" s="15" t="inlineStr">
        <is>
          <t>Intake</t>
        </is>
      </c>
      <c r="D78" s="16">
        <f>HYPERLINK('Link Config'!$B$2&amp;"plugins/vc/tasks/screen-inbound-opportunity.md","Capture Opportunity Intake")</f>
        <v/>
      </c>
      <c r="E78" s="15" t="inlineStr">
        <is>
          <t>Capture source context, known fields, missing information, and guided project-creation values for one venture-capital opportunity before formal screening.</t>
        </is>
      </c>
      <c r="F78" s="16">
        <f>HYPERLINK('Link Config'!$B$2&amp;"plugins/vc/agents/vc-dealflow-concierge.md","Dealflow Concierge")</f>
        <v/>
      </c>
      <c r="G78" s="16">
        <f>HYPERLINK('Link Config'!$B$2&amp;"plugins/vc/skills/company-research-and-enrichment/SKILL.md","company-research-and-enrichment")</f>
        <v/>
      </c>
      <c r="H78" s="16">
        <f>HYPERLINK('Link Config'!$B$2&amp;"plugins/vc/alludium/documents/shared/evidence-citation-style-guide.md","Evidence And Citation Style Guide (style_guide)")</f>
        <v/>
      </c>
      <c r="I78" s="15" t="inlineStr">
        <is>
          <t>alludium-platform
harmonic-mcp-oauth
affinity-mcp-server
exa-mcp-hosted
brave-search-mcp
serpapi-mcp
firecrawl-mcp-hosted
dealroom-mcp
google_drive</t>
        </is>
      </c>
      <c r="J78" s="15" t="inlineStr">
        <is>
          <t>screen-inbound-opportunity</t>
        </is>
      </c>
      <c r="K78" s="15" t="inlineStr">
        <is>
          <t>project_instance</t>
        </is>
      </c>
    </row>
    <row r="79" ht="135" customHeight="1" s="12">
      <c r="A79" s="15" t="inlineStr">
        <is>
          <t>Alex</t>
        </is>
      </c>
      <c r="B79" s="15" t="inlineStr">
        <is>
          <t>Deal Pipeline</t>
        </is>
      </c>
      <c r="C79" s="15" t="inlineStr">
        <is>
          <t>Intake</t>
        </is>
      </c>
      <c r="D79" s="16">
        <f>HYPERLINK('Link Config'!$B$2&amp;"plugins/vc/tasks/screen-inbound-opportunity.md","Capture Opportunity Intake")</f>
        <v/>
      </c>
      <c r="E79" s="15" t="inlineStr">
        <is>
          <t>Capture source context, known fields, missing information, and guided project-creation values for one venture-capital opportunity before formal screening.</t>
        </is>
      </c>
      <c r="F79" s="16">
        <f>HYPERLINK('Link Config'!$B$2&amp;"plugins/vc/agents/vc-dealflow-concierge.md","Dealflow Concierge")</f>
        <v/>
      </c>
      <c r="G79" s="16">
        <f>HYPERLINK('Link Config'!$B$2&amp;"plugins/vc/skills/citation-enforcement/SKILL.md","citation-enforcement")</f>
        <v/>
      </c>
      <c r="H79" s="16">
        <f>HYPERLINK('Link Config'!$B$2&amp;"plugins/vc/alludium/documents/shared/template-use-guidance.md","Template Use Guidance (operating_guidance)")</f>
        <v/>
      </c>
      <c r="I79" s="15" t="inlineStr">
        <is>
          <t>alludium-platform
harmonic-mcp-oauth
affinity-mcp-server
exa-mcp-hosted
brave-search-mcp
serpapi-mcp
firecrawl-mcp-hosted
dealroom-mcp
google_drive</t>
        </is>
      </c>
      <c r="J79" s="15" t="inlineStr">
        <is>
          <t>screen-inbound-opportunity</t>
        </is>
      </c>
      <c r="K79" s="15" t="inlineStr">
        <is>
          <t>project_instance</t>
        </is>
      </c>
    </row>
    <row r="80" ht="135" customHeight="1" s="12">
      <c r="A80" s="15" t="inlineStr">
        <is>
          <t>Alex</t>
        </is>
      </c>
      <c r="B80" s="15" t="inlineStr">
        <is>
          <t>Deal Pipeline</t>
        </is>
      </c>
      <c r="C80" s="15" t="inlineStr">
        <is>
          <t>Intake</t>
        </is>
      </c>
      <c r="D80" s="16">
        <f>HYPERLINK('Link Config'!$B$2&amp;"plugins/vc/tasks/screen-inbound-opportunity.md","Capture Opportunity Intake")</f>
        <v/>
      </c>
      <c r="E80" s="15" t="inlineStr">
        <is>
          <t>Capture source context, known fields, missing information, and guided project-creation values for one venture-capital opportunity before formal screening.</t>
        </is>
      </c>
      <c r="F80" s="16">
        <f>HYPERLINK('Link Config'!$B$2&amp;"plugins/vc/agents/vc-dealflow-concierge.md","Dealflow Concierge")</f>
        <v/>
      </c>
      <c r="G80" s="16">
        <f>HYPERLINK('Link Config'!$B$2&amp;"plugins/vc/skills/pitch-deck-explainer/SKILL.md","pitch-deck-explainer")</f>
        <v/>
      </c>
      <c r="H80" s="15" t="inlineStr"/>
      <c r="I80" s="15" t="inlineStr">
        <is>
          <t>alludium-platform
harmonic-mcp-oauth
affinity-mcp-server
exa-mcp-hosted
brave-search-mcp
serpapi-mcp
firecrawl-mcp-hosted
dealroom-mcp
google_drive</t>
        </is>
      </c>
      <c r="J80" s="15" t="inlineStr">
        <is>
          <t>screen-inbound-opportunity</t>
        </is>
      </c>
      <c r="K80" s="15" t="inlineStr">
        <is>
          <t>project_instance</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Config'!$B$2&amp;"plugins/vc/skills/investment-screening-framework/SKILL.md","investment-screening-framework")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Config'!$B$2&amp;"plugins/vc/skills/red-flags-scanner/SKILL.md","red-flags-scanner")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Config'!$B$2&amp;"plugins/vc/skills/investment-diligence-question-framework/SKILL.md","investment-diligence-question-framework")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Config'!$B$2&amp;"plugins/vc/skills/red-flags-scanner/SKILL.md","red-flags-scanner")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Config'!$B$2&amp;"plugins/vc/skills/commercial-evaluation-and-market-risk/SKILL.md","commercial-evaluation-and-market-risk")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Config'!$B$2&amp;"plugins/vc/skills/technical-evaluation-and-product-risk/SKILL.md","technical-evaluation-and-product-risk")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Config'!$B$2&amp;"plugins/vc/skills/red-flags-scanner/SKILL.md","red-flags-scanner")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Config'!$B$2&amp;"plugins/vc/skills/financial-evaluation-and-financing-risk/SKILL.md","financial-evaluation-and-financing-risk")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Config'!$B$2&amp;"plugins/vc/skills/team-evaluation-and-founder-risk/SKILL.md","team-evaluation-and-founder-risk")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Config'!$B$2&amp;"plugins/vc/skills/red-flags-scanner/SKILL.md","red-flags-scanner")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Config'!$B$2&amp;"plugins/vc/skills/investment-diligence-question-framework/SKILL.md","investment-diligence-question-framework")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Config'!$B$2&amp;"plugins/vc/skills/ic-memo-assembly/SKILL.md","ic-memo-assembly")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Config'!$B$2&amp;"plugins/vc/skills/ic-memo-assembly/SKILL.md","ic-memo-assembly")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Config'!$B$2&amp;"plugins/vc/skills/ic-memo-assembly/SKILL.md","ic-memo-assembly")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Config'!$B$2&amp;"plugins/vc/skills/ic-risk-checklist-and-decision-log/SKILL.md","ic-risk-checklist-and-decision-log")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Config'!$B$2&amp;"plugins/vc/skills/meeting-prep-and-summary/SKILL.md","meeting-prep-and-summary")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Config'!$B$2&amp;"plugins/vc/skills/ic-risk-checklist-and-decision-log/SKILL.md","ic-risk-checklist-and-decision-log")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Config'!$B$2&amp;"plugins/vc/skills/ic-memo-assembly/SKILL.md","ic-memo-assembly")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Config'!$B$2&amp;"plugins/vc/skills/ic-risk-checklist-and-decision-log/SKILL.md","ic-risk-checklist-and-decision-log")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Config'!$B$2&amp;"plugins/vc/skills/ic-risk-checklist-and-decision-log/SKILL.md","ic-risk-checklist-and-decision-log")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Config'!$B$2&amp;"plugins/vc/skills/vc-task-and-next-step-generation/SKILL.md","vc-task-and-next-step-generation")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Config'!$B$2&amp;"plugins/vc/skills/deal-terms-analysis/SKILL.md","deal-terms-analysis")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Config'!$B$2&amp;"plugins/vc/skills/term-sheet-negotiation-brief/SKILL.md","term-sheet-negotiation-brief")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Config'!$B$2&amp;"plugins/vc/skills/deal-terms-analysis/SKILL.md","deal-terms-analysis")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Config'!$B$2&amp;"plugins/vc/skills/red-flags-scanner/SKILL.md","red-flags-scanner")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Config'!$B$2&amp;"plugins/vc/skills/closing-coordination-and-cp-tracking/SKILL.md","closing-coordination-and-cp-tracking")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5" t="inlineStr">
        <is>
          <t>Project Source Setup</t>
        </is>
      </c>
      <c r="E172" s="15" t="inlineStr">
        <is>
          <t>Review selected source route and setup intent before writes or imports.</t>
        </is>
      </c>
      <c r="F172" s="16">
        <f>HYPERLINK('Link Config'!$B$2&amp;"plugins/vc/agents/vc-origination-scout.md","Origination Scout")</f>
        <v/>
      </c>
      <c r="G172" s="15" t="inlineStr">
        <is>
          <t>None declared</t>
        </is>
      </c>
      <c r="H172" s="15" t="inlineStr">
        <is>
          <t>None declared</t>
        </is>
      </c>
      <c r="I172" s="15" t="inlineStr">
        <is>
          <t>None declared</t>
        </is>
      </c>
      <c r="J172" s="15" t="inlineStr">
        <is>
          <t>project-source-setup</t>
        </is>
      </c>
      <c r="K172" s="15" t="inlineStr">
        <is>
          <t>setup</t>
        </is>
      </c>
    </row>
    <row r="173" ht="135" customHeight="1" s="12">
      <c r="A173" s="15" t="inlineStr"/>
      <c r="B173" s="15" t="inlineStr">
        <is>
          <t>Origination Pipeline</t>
        </is>
      </c>
      <c r="C173" s="15" t="inlineStr">
        <is>
          <t>Setup</t>
        </is>
      </c>
      <c r="D173" s="16">
        <f>HYPERLINK('Link Config'!$B$2&amp;"plugins/vc/tasks/vc-pack-variable-discovery.md","VC Pack Variable Discovery")</f>
        <v/>
      </c>
      <c r="E173" s="15" t="inlineStr">
        <is>
          <t>Best-effort, review-only discovery for VC Pack Setup variables and invite suggestions.</t>
        </is>
      </c>
      <c r="F173" s="16">
        <f>HYPERLINK('Link Config'!$B$2&amp;"plugins/vc/agents/vc-origination-scout.md","Origination Scout")</f>
        <v/>
      </c>
      <c r="G173" s="15" t="inlineStr">
        <is>
          <t>None declared</t>
        </is>
      </c>
      <c r="H173" s="15" t="inlineStr">
        <is>
          <t>None declared</t>
        </is>
      </c>
      <c r="I173" s="15" t="inlineStr">
        <is>
          <t>alludium-platform
harmonic-mcp-oauth
affinity-mcp-server
exa-mcp-hosted
brave-search-mcp
serpapi-mcp
firecrawl-mcp-hosted
dealroom-mcp
linkedin</t>
        </is>
      </c>
      <c r="J173" s="15" t="inlineStr">
        <is>
          <t>vc-pack-variable-discovery</t>
        </is>
      </c>
      <c r="K173" s="15" t="inlineStr">
        <is>
          <t>setup</t>
        </is>
      </c>
    </row>
    <row r="174" ht="18" customHeight="1" s="12">
      <c r="A174" s="15" t="inlineStr"/>
      <c r="B174" s="15" t="inlineStr">
        <is>
          <t>Origination Pipeline</t>
        </is>
      </c>
      <c r="C174" s="15" t="inlineStr">
        <is>
          <t>Setup</t>
        </is>
      </c>
      <c r="D174" s="16">
        <f>HYPERLINK('Link Config'!$B$2&amp;"plugins/vc/tasks/apify-setup.md","Set Up Apify for Origination")</f>
        <v/>
      </c>
      <c r="E174" s="15" t="inlineStr">
        <is>
          <t>Coordinate Apify connection readiness, actor allowlist, discovery scope, and read-preview policy for a VC origination pipeline.</t>
        </is>
      </c>
      <c r="F174" s="16">
        <f>HYPERLINK('Link Config'!$B$2&amp;"plugins/vc/agents/vc-integration-operator.md","Integration Operator")</f>
        <v/>
      </c>
      <c r="G174" s="16">
        <f>HYPERLINK('Link Config'!$B$2&amp;"plugins/vc/skills/vc-apify-discovery/SKILL.md","vc-apify-discovery")</f>
        <v/>
      </c>
      <c r="H174" s="15" t="inlineStr">
        <is>
          <t>None declared</t>
        </is>
      </c>
      <c r="I174" s="15" t="inlineStr">
        <is>
          <t>apify-actors-mcp</t>
        </is>
      </c>
      <c r="J174" s="15" t="inlineStr">
        <is>
          <t>apify-setup</t>
        </is>
      </c>
      <c r="K174" s="15" t="inlineStr">
        <is>
          <t>setup</t>
        </is>
      </c>
    </row>
    <row r="175" ht="18" customHeight="1" s="12">
      <c r="A175" s="15" t="inlineStr"/>
      <c r="B175" s="15" t="inlineStr">
        <is>
          <t>Origination Pipeline</t>
        </is>
      </c>
      <c r="C175" s="15" t="inlineStr">
        <is>
          <t>Setup</t>
        </is>
      </c>
      <c r="D175" s="16">
        <f>HYPERLINK('Link Config'!$B$2&amp;"plugins/vc/tasks/apify-setup.md","Set Up Apify for Origination")</f>
        <v/>
      </c>
      <c r="E175" s="15" t="inlineStr">
        <is>
          <t>Coordinate Apify connection readiness, actor allowlist, discovery scope, and read-preview policy for a VC origination pipeline.</t>
        </is>
      </c>
      <c r="F175" s="16">
        <f>HYPERLINK('Link Config'!$B$2&amp;"plugins/vc/agents/vc-integration-operator.md","Integration Operator")</f>
        <v/>
      </c>
      <c r="G175" s="16">
        <f>HYPERLINK('Link Config'!$B$2&amp;"plugins/vc/skills/vc-apify-sync-read/SKILL.md","vc-apify-sync-read")</f>
        <v/>
      </c>
      <c r="H175" s="15" t="inlineStr"/>
      <c r="I175" s="15" t="inlineStr">
        <is>
          <t>apify-actors-mcp</t>
        </is>
      </c>
      <c r="J175" s="15" t="inlineStr">
        <is>
          <t>apify-setup</t>
        </is>
      </c>
      <c r="K175" s="15" t="inlineStr">
        <is>
          <t>setup</t>
        </is>
      </c>
    </row>
    <row r="176" ht="18" customHeight="1" s="12">
      <c r="A176" s="15" t="inlineStr"/>
      <c r="B176" s="15" t="inlineStr">
        <is>
          <t>Origination Pipeline</t>
        </is>
      </c>
      <c r="C176" s="15" t="inlineStr">
        <is>
          <t>Setup</t>
        </is>
      </c>
      <c r="D176" s="16">
        <f>HYPERLINK('Link Config'!$B$2&amp;"plugins/vc/tasks/apify-setup.md","Set Up Apify for Origination")</f>
        <v/>
      </c>
      <c r="E176" s="15" t="inlineStr">
        <is>
          <t>Coordinate Apify connection readiness, actor allowlist, discovery scope, and read-preview policy for a VC origination pipeline.</t>
        </is>
      </c>
      <c r="F176" s="16">
        <f>HYPERLINK('Link Config'!$B$2&amp;"plugins/vc/agents/vc-integration-operator.md","Integration Operator")</f>
        <v/>
      </c>
      <c r="G176" s="16">
        <f>HYPERLINK('Link Config'!$B$2&amp;"plugins/vc/skills/citation-enforcement/SKILL.md","citation-enforcement")</f>
        <v/>
      </c>
      <c r="H176" s="15" t="inlineStr"/>
      <c r="I176" s="15" t="inlineStr">
        <is>
          <t>apify-actors-mcp</t>
        </is>
      </c>
      <c r="J176" s="15" t="inlineStr">
        <is>
          <t>apify-setup</t>
        </is>
      </c>
      <c r="K176" s="15" t="inlineStr">
        <is>
          <t>setup</t>
        </is>
      </c>
    </row>
    <row r="177" ht="18" customHeight="1" s="12">
      <c r="A177" s="15" t="inlineStr"/>
      <c r="B177" s="15" t="inlineStr">
        <is>
          <t>Origination Pipeline</t>
        </is>
      </c>
      <c r="C177" s="15" t="inlineStr">
        <is>
          <t>Setup</t>
        </is>
      </c>
      <c r="D177" s="16">
        <f>HYPERLINK('Link Config'!$B$2&amp;"plugins/vc/tasks/companies-house-setup.md","Configure Companies House Public Register Preview")</f>
        <v/>
      </c>
      <c r="E177" s="15" t="inlineStr">
        <is>
          <t>Configure Firecrawl-backed public Companies House search and company-page previews for a VC origination pipeline.</t>
        </is>
      </c>
      <c r="F177" s="16">
        <f>HYPERLINK('Link Config'!$B$2&amp;"plugins/vc/agents/vc-integration-operator.md","Integration Operator")</f>
        <v/>
      </c>
      <c r="G177" s="16">
        <f>HYPERLINK('Link Config'!$B$2&amp;"plugins/vc/skills/vc-companies-house-sourcing/SKILL.md","vc-companies-house-sourcing")</f>
        <v/>
      </c>
      <c r="H177" s="15" t="inlineStr">
        <is>
          <t>None declared</t>
        </is>
      </c>
      <c r="I177" s="15" t="inlineStr">
        <is>
          <t>firecrawl-mcp-hosted</t>
        </is>
      </c>
      <c r="J177" s="15" t="inlineStr">
        <is>
          <t>companies-house-setup</t>
        </is>
      </c>
      <c r="K177" s="15" t="inlineStr">
        <is>
          <t>setup</t>
        </is>
      </c>
    </row>
    <row r="178" ht="18" customHeight="1" s="12">
      <c r="A178" s="15" t="inlineStr"/>
      <c r="B178" s="15" t="inlineStr">
        <is>
          <t>Origination Pipeline</t>
        </is>
      </c>
      <c r="C178" s="15" t="inlineStr">
        <is>
          <t>Setup</t>
        </is>
      </c>
      <c r="D178" s="16">
        <f>HYPERLINK('Link Config'!$B$2&amp;"plugins/vc/tasks/companies-house-setup.md","Configure Companies House Public Register Preview")</f>
        <v/>
      </c>
      <c r="E178" s="15" t="inlineStr">
        <is>
          <t>Configure Firecrawl-backed public Companies House search and company-page previews for a VC origination pipeline.</t>
        </is>
      </c>
      <c r="F178" s="16">
        <f>HYPERLINK('Link Config'!$B$2&amp;"plugins/vc/agents/vc-integration-operator.md","Integration Operator")</f>
        <v/>
      </c>
      <c r="G178" s="16">
        <f>HYPERLINK('Link Config'!$B$2&amp;"plugins/vc/skills/vc-companies-house-sync-read/SKILL.md","vc-companies-house-sync-read")</f>
        <v/>
      </c>
      <c r="H178" s="15" t="inlineStr"/>
      <c r="I178" s="15" t="inlineStr">
        <is>
          <t>firecrawl-mcp-hosted</t>
        </is>
      </c>
      <c r="J178" s="15" t="inlineStr">
        <is>
          <t>companies-house-setup</t>
        </is>
      </c>
      <c r="K178" s="15" t="inlineStr">
        <is>
          <t>setup</t>
        </is>
      </c>
    </row>
    <row r="179" ht="18" customHeight="1" s="12">
      <c r="A179" s="15" t="inlineStr"/>
      <c r="B179" s="15" t="inlineStr">
        <is>
          <t>Origination Pipeline</t>
        </is>
      </c>
      <c r="C179" s="15" t="inlineStr">
        <is>
          <t>Setup</t>
        </is>
      </c>
      <c r="D179" s="16">
        <f>HYPERLINK('Link Config'!$B$2&amp;"plugins/vc/tasks/companies-house-setup.md","Configure Companies House Public Register Preview")</f>
        <v/>
      </c>
      <c r="E179" s="15" t="inlineStr">
        <is>
          <t>Configure Firecrawl-backed public Companies House search and company-page previews for a VC origination pipeline.</t>
        </is>
      </c>
      <c r="F179" s="16">
        <f>HYPERLINK('Link Config'!$B$2&amp;"plugins/vc/agents/vc-integration-operator.md","Integration Operator")</f>
        <v/>
      </c>
      <c r="G179" s="16">
        <f>HYPERLINK('Link Config'!$B$2&amp;"plugins/vc/skills/citation-enforcement/SKILL.md","citation-enforcement")</f>
        <v/>
      </c>
      <c r="H179" s="15" t="inlineStr"/>
      <c r="I179" s="15" t="inlineStr">
        <is>
          <t>firecrawl-mcp-hosted</t>
        </is>
      </c>
      <c r="J179" s="15" t="inlineStr">
        <is>
          <t>companies-house-setup</t>
        </is>
      </c>
      <c r="K179" s="15" t="inlineStr">
        <is>
          <t>setup</t>
        </is>
      </c>
    </row>
    <row r="180" ht="18" customHeight="1" s="12">
      <c r="A180" s="15" t="inlineStr">
        <is>
          <t>Jay</t>
        </is>
      </c>
      <c r="B180" s="15" t="inlineStr">
        <is>
          <t>Origination Pipeline</t>
        </is>
      </c>
      <c r="C180" s="15" t="inlineStr">
        <is>
          <t>Management</t>
        </is>
      </c>
      <c r="D180" s="16">
        <f>HYPERLINK('Link Config'!$B$2&amp;"plugins/vc/tasks/run-sourcing-pipeline.md","Run VC Sourcing Pipeline")</f>
        <v/>
      </c>
      <c r="E180" s="15" t="inlineStr">
        <is>
          <t>Orchestrate one VC origination sourcing pass across approved sources with source-state receipts, cost gates, and human approval boundaries.</t>
        </is>
      </c>
      <c r="F180" s="16">
        <f>HYPERLINK('Link Config'!$B$2&amp;"plugins/vc/agents/vc-sourcing-operator.md","Sourcing Operator")</f>
        <v/>
      </c>
      <c r="G180" s="16">
        <f>HYPERLINK('Link Config'!$B$2&amp;"plugins/vc/skills/vc-origination-pipeline-orchestration/SKILL.md","vc-origination-pipeline-orchestration")</f>
        <v/>
      </c>
      <c r="H180" s="16">
        <f>HYPERLINK('Link Config'!$B$2&amp;"plugins/vc/alludium/documents/origination/candidate-batch-template.md","Candidate Batch Template (output_template, to candidate_batch_artifact_id)")</f>
        <v/>
      </c>
      <c r="I180" s="15" t="inlineStr">
        <is>
          <t>None declared</t>
        </is>
      </c>
      <c r="J180" s="15" t="inlineStr">
        <is>
          <t>run-sourcing-pipeline</t>
        </is>
      </c>
      <c r="K180" s="15" t="inlineStr">
        <is>
          <t>project_management</t>
        </is>
      </c>
    </row>
    <row r="181" ht="18" customHeight="1" s="12">
      <c r="A181" s="15" t="inlineStr">
        <is>
          <t>Jay</t>
        </is>
      </c>
      <c r="B181" s="15" t="inlineStr">
        <is>
          <t>Origination Pipeline</t>
        </is>
      </c>
      <c r="C181" s="15" t="inlineStr">
        <is>
          <t>Management</t>
        </is>
      </c>
      <c r="D181" s="16">
        <f>HYPERLINK('Link Config'!$B$2&amp;"plugins/vc/tasks/run-sourcing-pipeline.md","Run VC Sourcing Pipeline")</f>
        <v/>
      </c>
      <c r="E181" s="15" t="inlineStr">
        <is>
          <t>Orchestrate one VC origination sourcing pass across approved sources with source-state receipts, cost gates, and human approval boundaries.</t>
        </is>
      </c>
      <c r="F181" s="16">
        <f>HYPERLINK('Link Config'!$B$2&amp;"plugins/vc/agents/vc-sourcing-operator.md","Sourcing Operator")</f>
        <v/>
      </c>
      <c r="G181" s="16">
        <f>HYPERLINK('Link Config'!$B$2&amp;"plugins/vc/skills/vc-source-registry-and-state-management/SKILL.md","vc-source-registry-and-state-management")</f>
        <v/>
      </c>
      <c r="H181" s="16">
        <f>HYPERLINK('Link Config'!$B$2&amp;"plugins/vc/alludium/documents/origination/origination-pipeline-sop.md","Origination Pipeline Operating SOP (operating_guidance)")</f>
        <v/>
      </c>
      <c r="I181" s="15" t="inlineStr">
        <is>
          <t>None declared</t>
        </is>
      </c>
      <c r="J181" s="15" t="inlineStr">
        <is>
          <t>run-sourcing-pipeline</t>
        </is>
      </c>
      <c r="K181" s="15" t="inlineStr">
        <is>
          <t>project_management</t>
        </is>
      </c>
    </row>
    <row r="182" ht="18" customHeight="1" s="12">
      <c r="A182" s="15" t="inlineStr">
        <is>
          <t>Jay</t>
        </is>
      </c>
      <c r="B182" s="15" t="inlineStr">
        <is>
          <t>Origination Pipeline</t>
        </is>
      </c>
      <c r="C182" s="15" t="inlineStr">
        <is>
          <t>Management</t>
        </is>
      </c>
      <c r="D182" s="16">
        <f>HYPERLINK('Link Config'!$B$2&amp;"plugins/vc/tasks/run-sourcing-pipeline.md","Run VC Sourcing Pipeline")</f>
        <v/>
      </c>
      <c r="E182" s="15" t="inlineStr">
        <is>
          <t>Orchestrate one VC origination sourcing pass across approved sources with source-state receipts, cost gates, and human approval boundaries.</t>
        </is>
      </c>
      <c r="F182" s="16">
        <f>HYPERLINK('Link Config'!$B$2&amp;"plugins/vc/agents/vc-sourcing-operator.md","Sourcing Operator")</f>
        <v/>
      </c>
      <c r="G182" s="16">
        <f>HYPERLINK('Link Config'!$B$2&amp;"plugins/vc/skills/citation-enforcement/SKILL.md","citation-enforcement")</f>
        <v/>
      </c>
      <c r="H182" s="16">
        <f>HYPERLINK('Link Config'!$B$2&amp;"plugins/vc/alludium/documents/origination/origination-source-strategy-guide.md","Origination Source Strategy Guide (methodology)")</f>
        <v/>
      </c>
      <c r="I182" s="15" t="inlineStr">
        <is>
          <t>None declared</t>
        </is>
      </c>
      <c r="J182" s="15" t="inlineStr">
        <is>
          <t>run-sourcing-pipeline</t>
        </is>
      </c>
      <c r="K182" s="15" t="inlineStr">
        <is>
          <t>project_management</t>
        </is>
      </c>
    </row>
    <row r="183" ht="18" customHeight="1" s="12">
      <c r="A183" s="15" t="inlineStr">
        <is>
          <t>Jay</t>
        </is>
      </c>
      <c r="B183" s="15" t="inlineStr">
        <is>
          <t>Origination Pipeline</t>
        </is>
      </c>
      <c r="C183" s="15" t="inlineStr">
        <is>
          <t>Management</t>
        </is>
      </c>
      <c r="D183" s="16">
        <f>HYPERLINK('Link Config'!$B$2&amp;"plugins/vc/tasks/run-sourcing-pipeline.md","Run VC Sourcing Pipeline")</f>
        <v/>
      </c>
      <c r="E183" s="15" t="inlineStr">
        <is>
          <t>Orchestrate one VC origination sourcing pass across approved sources with source-state receipts, cost gates, and human approval boundaries.</t>
        </is>
      </c>
      <c r="F183" s="16">
        <f>HYPERLINK('Link Config'!$B$2&amp;"plugins/vc/agents/vc-sourcing-operator.md","Sourcing Operator")</f>
        <v/>
      </c>
      <c r="G183" s="15" t="inlineStr"/>
      <c r="H183" s="16">
        <f>HYPERLINK('Link Config'!$B$2&amp;"plugins/vc/alludium/documents/shared/template-use-guidance.md","Template Use Guidance (operating_guidance)")</f>
        <v/>
      </c>
      <c r="I183" s="15" t="inlineStr">
        <is>
          <t>None declared</t>
        </is>
      </c>
      <c r="J183" s="15" t="inlineStr">
        <is>
          <t>run-sourcing-pipeline</t>
        </is>
      </c>
      <c r="K183" s="15" t="inlineStr">
        <is>
          <t>project_management</t>
        </is>
      </c>
    </row>
    <row r="184" ht="18" customHeight="1" s="12">
      <c r="A184" s="15" t="inlineStr">
        <is>
          <t>Jay</t>
        </is>
      </c>
      <c r="B184" s="15" t="inlineStr">
        <is>
          <t>Origination Pipeline</t>
        </is>
      </c>
      <c r="C184" s="15" t="inlineStr">
        <is>
          <t>Management</t>
        </is>
      </c>
      <c r="D184" s="16">
        <f>HYPERLINK('Link Config'!$B$2&amp;"plugins/vc/tasks/generate-sourcing-digest.md","Generate Sourcing Digest")</f>
        <v/>
      </c>
      <c r="E184" s="15" t="inlineStr">
        <is>
          <t>Generate a daily or weekly origination digest with candidates, run receipts, degraded sources, and pending approvals.</t>
        </is>
      </c>
      <c r="F184" s="16">
        <f>HYPERLINK('Link Config'!$B$2&amp;"plugins/vc/agents/vc-sourcing-operator.md","Sourcing Operator")</f>
        <v/>
      </c>
      <c r="G184" s="16">
        <f>HYPERLINK('Link Config'!$B$2&amp;"plugins/vc/skills/vc-sourcing-digest-generation/SKILL.md","vc-sourcing-digest-generation")</f>
        <v/>
      </c>
      <c r="H184" s="16">
        <f>HYPERLINK('Link Config'!$B$2&amp;"plugins/vc/alludium/documents/origination/sourcing-digest-template.md","Sourcing Digest Template (output_template, to sourcing_digest_artifact_id)")</f>
        <v/>
      </c>
      <c r="I184" s="15" t="inlineStr">
        <is>
          <t>None declared</t>
        </is>
      </c>
      <c r="J184" s="15" t="inlineStr">
        <is>
          <t>generate-sourcing-digest</t>
        </is>
      </c>
      <c r="K184" s="15" t="inlineStr">
        <is>
          <t>project_management</t>
        </is>
      </c>
    </row>
    <row r="185" ht="18" customHeight="1" s="12">
      <c r="A185" s="15" t="inlineStr">
        <is>
          <t>Jay</t>
        </is>
      </c>
      <c r="B185" s="15" t="inlineStr">
        <is>
          <t>Origination Pipeline</t>
        </is>
      </c>
      <c r="C185" s="15" t="inlineStr">
        <is>
          <t>Management</t>
        </is>
      </c>
      <c r="D185" s="16">
        <f>HYPERLINK('Link Config'!$B$2&amp;"plugins/vc/tasks/generate-sourcing-digest.md","Generate Sourcing Digest")</f>
        <v/>
      </c>
      <c r="E185" s="15" t="inlineStr">
        <is>
          <t>Generate a daily or weekly origination digest with candidates, run receipts, degraded sources, and pending approvals.</t>
        </is>
      </c>
      <c r="F185" s="16">
        <f>HYPERLINK('Link Config'!$B$2&amp;"plugins/vc/agents/vc-sourcing-operator.md","Sourcing Operator")</f>
        <v/>
      </c>
      <c r="G185" s="16">
        <f>HYPERLINK('Link Config'!$B$2&amp;"plugins/vc/skills/citation-enforcement/SKILL.md","citation-enforcement")</f>
        <v/>
      </c>
      <c r="H185" s="16">
        <f>HYPERLINK('Link Config'!$B$2&amp;"plugins/vc/alludium/documents/shared/template-use-guidance.md","Template Use Guidance (operating_guidance)")</f>
        <v/>
      </c>
      <c r="I185" s="15" t="inlineStr">
        <is>
          <t>None declared</t>
        </is>
      </c>
      <c r="J185" s="15" t="inlineStr">
        <is>
          <t>generate-sourcing-digest</t>
        </is>
      </c>
      <c r="K185" s="15" t="inlineStr">
        <is>
          <t>project_management</t>
        </is>
      </c>
    </row>
    <row r="186" ht="18" customHeight="1" s="12">
      <c r="A186" s="15" t="inlineStr">
        <is>
          <t>Jay</t>
        </is>
      </c>
      <c r="B186" s="15" t="inlineStr">
        <is>
          <t>Origination Pipeline</t>
        </is>
      </c>
      <c r="C186" s="15" t="inlineStr">
        <is>
          <t>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Config'!$B$2&amp;"plugins/vc/skills/vc-source-error-and-spend-audit/SKILL.md","vc-source-error-and-spend-audit")</f>
        <v/>
      </c>
      <c r="H186" s="16">
        <f>HYPERLINK('Link Config'!$B$2&amp;"plugins/vc/alludium/documents/origination/source-health-review-checklist.md","Source Health Review Checklist (output_template, to source_health_artifact_id)")</f>
        <v/>
      </c>
      <c r="I186" s="15" t="inlineStr">
        <is>
          <t>None declared</t>
        </is>
      </c>
      <c r="J186" s="15" t="inlineStr">
        <is>
          <t>review-source-errors-and-spend</t>
        </is>
      </c>
      <c r="K186" s="15" t="inlineStr">
        <is>
          <t>project_management</t>
        </is>
      </c>
    </row>
    <row r="187" ht="18" customHeight="1" s="12">
      <c r="A187" s="15" t="inlineStr">
        <is>
          <t>Jay</t>
        </is>
      </c>
      <c r="B187" s="15" t="inlineStr">
        <is>
          <t>Origination Pipeline</t>
        </is>
      </c>
      <c r="C187" s="15" t="inlineStr">
        <is>
          <t>Management</t>
        </is>
      </c>
      <c r="D187" s="16">
        <f>HYPERLINK('Link Config'!$B$2&amp;"plugins/vc/tasks/review-source-errors-and-spend.md","Review Source Errors and Spend")</f>
        <v/>
      </c>
      <c r="E187" s="15" t="inlineStr">
        <is>
          <t>Review degraded source runs, cost warnings, retry safety, and required human actions.</t>
        </is>
      </c>
      <c r="F187" s="16">
        <f>HYPERLINK('Link Config'!$B$2&amp;"plugins/vc/agents/vc-sourcing-operator.md","Sourcing Operator")</f>
        <v/>
      </c>
      <c r="G187" s="16">
        <f>HYPERLINK('Link Config'!$B$2&amp;"plugins/vc/skills/vc-source-registry-and-state-management/SKILL.md","vc-source-registry-and-state-management")</f>
        <v/>
      </c>
      <c r="H187" s="16">
        <f>HYPERLINK('Link Config'!$B$2&amp;"plugins/vc/alludium/documents/origination/paid-source-spend-audit-checklist.md","Paid Source Spend Audit Checklist (checklist)")</f>
        <v/>
      </c>
      <c r="I187" s="15" t="inlineStr">
        <is>
          <t>None declared</t>
        </is>
      </c>
      <c r="J187" s="15" t="inlineStr">
        <is>
          <t>review-source-errors-and-spend</t>
        </is>
      </c>
      <c r="K187" s="15" t="inlineStr">
        <is>
          <t>project_management</t>
        </is>
      </c>
    </row>
    <row r="188" ht="18" customHeight="1" s="12">
      <c r="A188" s="15" t="inlineStr">
        <is>
          <t>Jay</t>
        </is>
      </c>
      <c r="B188" s="15" t="inlineStr">
        <is>
          <t>Origination Pipeline</t>
        </is>
      </c>
      <c r="C188" s="15" t="inlineStr">
        <is>
          <t>Management</t>
        </is>
      </c>
      <c r="D188" s="16">
        <f>HYPERLINK('Link Config'!$B$2&amp;"plugins/vc/tasks/review-source-errors-and-spend.md","Review Source Errors and Spend")</f>
        <v/>
      </c>
      <c r="E188" s="15" t="inlineStr">
        <is>
          <t>Review degraded source runs, cost warnings, retry safety, and required human actions.</t>
        </is>
      </c>
      <c r="F188" s="16">
        <f>HYPERLINK('Link Config'!$B$2&amp;"plugins/vc/agents/vc-sourcing-operator.md","Sourcing Operator")</f>
        <v/>
      </c>
      <c r="G188" s="16">
        <f>HYPERLINK('Link Config'!$B$2&amp;"plugins/vc/skills/citation-enforcement/SKILL.md","citation-enforcement")</f>
        <v/>
      </c>
      <c r="H188" s="16">
        <f>HYPERLINK('Link Config'!$B$2&amp;"plugins/vc/alludium/documents/shared/template-use-guidance.md","Template Use Guidance (operating_guidance)")</f>
        <v/>
      </c>
      <c r="I188" s="15" t="inlineStr">
        <is>
          <t>None declared</t>
        </is>
      </c>
      <c r="J188" s="15" t="inlineStr">
        <is>
          <t>review-source-errors-and-spend</t>
        </is>
      </c>
      <c r="K188" s="15" t="inlineStr">
        <is>
          <t>project_management</t>
        </is>
      </c>
    </row>
    <row r="189" ht="18" customHeight="1" s="12">
      <c r="A189" s="15" t="inlineStr">
        <is>
          <t>Jay</t>
        </is>
      </c>
      <c r="B189" s="15" t="inlineStr">
        <is>
          <t>Origination Pipeline</t>
        </is>
      </c>
      <c r="C189" s="15" t="inlineStr">
        <is>
          <t>Management</t>
        </is>
      </c>
      <c r="D189" s="16">
        <f>HYPERLINK('Link Config'!$B$2&amp;"plugins/vc/tasks/discover-companies-house-candidates.md","Discover Companies House Candidates")</f>
        <v/>
      </c>
      <c r="E189" s="15" t="inlineStr">
        <is>
          <t>Discover UK company candidates from approved Companies House public-register pages using reference-pipeline scoring and dedupe patterns.</t>
        </is>
      </c>
      <c r="F189" s="16">
        <f>HYPERLINK('Link Config'!$B$2&amp;"plugins/vc/agents/vc-sourcing-operator.md","Sourcing Operator")</f>
        <v/>
      </c>
      <c r="G189" s="16">
        <f>HYPERLINK('Link Config'!$B$2&amp;"plugins/vc/skills/vc-companies-house-sourcing/SKILL.md","vc-companies-house-sourcing")</f>
        <v/>
      </c>
      <c r="H189" s="15" t="inlineStr">
        <is>
          <t>None declared</t>
        </is>
      </c>
      <c r="I189" s="15" t="inlineStr">
        <is>
          <t>None declared</t>
        </is>
      </c>
      <c r="J189" s="15" t="inlineStr">
        <is>
          <t>discover-companies-house-candidates</t>
        </is>
      </c>
      <c r="K189" s="15" t="inlineStr">
        <is>
          <t>project_management</t>
        </is>
      </c>
    </row>
    <row r="190" ht="18" customHeight="1" s="12">
      <c r="A190" s="15" t="inlineStr">
        <is>
          <t>Jay</t>
        </is>
      </c>
      <c r="B190" s="15" t="inlineStr">
        <is>
          <t>Origination Pipeline</t>
        </is>
      </c>
      <c r="C190" s="15" t="inlineStr">
        <is>
          <t>Management</t>
        </is>
      </c>
      <c r="D190" s="16">
        <f>HYPERLINK('Link Config'!$B$2&amp;"plugins/vc/tasks/discover-companies-house-candidates.md","Discover Companies House Candidates")</f>
        <v/>
      </c>
      <c r="E190" s="15" t="inlineStr">
        <is>
          <t>Discover UK company candidates from approved Companies House public-register pages using reference-pipeline scoring and dedupe patterns.</t>
        </is>
      </c>
      <c r="F190" s="16">
        <f>HYPERLINK('Link Config'!$B$2&amp;"plugins/vc/agents/vc-sourcing-operator.md","Sourcing Operator")</f>
        <v/>
      </c>
      <c r="G190" s="16">
        <f>HYPERLINK('Link Config'!$B$2&amp;"plugins/vc/skills/vc-source-registry-and-state-management/SKILL.md","vc-source-registry-and-state-management")</f>
        <v/>
      </c>
      <c r="H190" s="15" t="inlineStr"/>
      <c r="I190" s="15" t="inlineStr">
        <is>
          <t>None declared</t>
        </is>
      </c>
      <c r="J190" s="15" t="inlineStr">
        <is>
          <t>discover-companies-house-candidates</t>
        </is>
      </c>
      <c r="K190" s="15" t="inlineStr">
        <is>
          <t>project_management</t>
        </is>
      </c>
    </row>
    <row r="191" ht="18" customHeight="1" s="12">
      <c r="A191" s="15" t="inlineStr">
        <is>
          <t>Jay</t>
        </is>
      </c>
      <c r="B191" s="15" t="inlineStr">
        <is>
          <t>Origination Pipeline</t>
        </is>
      </c>
      <c r="C191" s="15" t="inlineStr">
        <is>
          <t>Management</t>
        </is>
      </c>
      <c r="D191" s="16">
        <f>HYPERLINK('Link Config'!$B$2&amp;"plugins/vc/tasks/discover-companies-house-candidates.md","Discover Companies House Candidates")</f>
        <v/>
      </c>
      <c r="E191" s="15" t="inlineStr">
        <is>
          <t>Discover UK company candidates from approved Companies House public-register pages using reference-pipeline scoring and dedupe patterns.</t>
        </is>
      </c>
      <c r="F191" s="16">
        <f>HYPERLINK('Link Config'!$B$2&amp;"plugins/vc/agents/vc-sourcing-operator.md","Sourcing Operator")</f>
        <v/>
      </c>
      <c r="G191" s="16">
        <f>HYPERLINK('Link Config'!$B$2&amp;"plugins/vc/skills/citation-enforcement/SKILL.md","citation-enforcement")</f>
        <v/>
      </c>
      <c r="H191" s="15" t="inlineStr"/>
      <c r="I191" s="15" t="inlineStr">
        <is>
          <t>None declared</t>
        </is>
      </c>
      <c r="J191" s="15" t="inlineStr">
        <is>
          <t>discover-companies-house-candidates</t>
        </is>
      </c>
      <c r="K191" s="15" t="inlineStr">
        <is>
          <t>project_management</t>
        </is>
      </c>
    </row>
    <row r="192" ht="18" customHeight="1" s="12">
      <c r="A192" s="15" t="inlineStr">
        <is>
          <t>Jay</t>
        </is>
      </c>
      <c r="B192" s="15" t="inlineStr">
        <is>
          <t>Origination Pipeline</t>
        </is>
      </c>
      <c r="C192" s="15" t="inlineStr">
        <is>
          <t>Management</t>
        </is>
      </c>
      <c r="D192" s="16">
        <f>HYPERLINK('Link Config'!$B$2&amp;"plugins/vc/tasks/discover-x-founder-signals.md","Discover X Founder Signals")</f>
        <v/>
      </c>
      <c r="E192" s="15" t="inlineStr">
        <is>
          <t>Find public founder/product/building signals on X through approved Apify tweet-search actors.</t>
        </is>
      </c>
      <c r="F192" s="16">
        <f>HYPERLINK('Link Config'!$B$2&amp;"plugins/vc/agents/vc-sourcing-operator.md","Sourcing Operator")</f>
        <v/>
      </c>
      <c r="G192" s="16">
        <f>HYPERLINK('Link Config'!$B$2&amp;"plugins/vc/skills/vc-apify-x-founder-discovery/SKILL.md","vc-apify-x-founder-discovery")</f>
        <v/>
      </c>
      <c r="H192" s="15" t="inlineStr">
        <is>
          <t>None declared</t>
        </is>
      </c>
      <c r="I192" s="15" t="inlineStr">
        <is>
          <t>None declared</t>
        </is>
      </c>
      <c r="J192" s="15" t="inlineStr">
        <is>
          <t>discover-x-founder-signals</t>
        </is>
      </c>
      <c r="K192" s="15" t="inlineStr">
        <is>
          <t>project_management</t>
        </is>
      </c>
    </row>
    <row r="193" ht="18" customHeight="1" s="12">
      <c r="A193" s="15" t="inlineStr">
        <is>
          <t>Jay</t>
        </is>
      </c>
      <c r="B193" s="15" t="inlineStr">
        <is>
          <t>Origination Pipeline</t>
        </is>
      </c>
      <c r="C193" s="15" t="inlineStr">
        <is>
          <t>Management</t>
        </is>
      </c>
      <c r="D193" s="16">
        <f>HYPERLINK('Link Config'!$B$2&amp;"plugins/vc/tasks/discover-x-founder-signals.md","Discover X Founder Signals")</f>
        <v/>
      </c>
      <c r="E193" s="15" t="inlineStr">
        <is>
          <t>Find public founder/product/building signals on X through approved Apify tweet-search actors.</t>
        </is>
      </c>
      <c r="F193" s="16">
        <f>HYPERLINK('Link Config'!$B$2&amp;"plugins/vc/agents/vc-sourcing-operator.md","Sourcing Operator")</f>
        <v/>
      </c>
      <c r="G193" s="16">
        <f>HYPERLINK('Link Config'!$B$2&amp;"plugins/vc/skills/vc-source-registry-and-state-management/SKILL.md","vc-source-registry-and-state-management")</f>
        <v/>
      </c>
      <c r="H193" s="15" t="inlineStr"/>
      <c r="I193" s="15" t="inlineStr">
        <is>
          <t>None declared</t>
        </is>
      </c>
      <c r="J193" s="15" t="inlineStr">
        <is>
          <t>discover-x-founder-signals</t>
        </is>
      </c>
      <c r="K193" s="15" t="inlineStr">
        <is>
          <t>project_management</t>
        </is>
      </c>
    </row>
    <row r="194" ht="18" customHeight="1" s="12">
      <c r="A194" s="15" t="inlineStr">
        <is>
          <t>Jay</t>
        </is>
      </c>
      <c r="B194" s="15" t="inlineStr">
        <is>
          <t>Origination Pipeline</t>
        </is>
      </c>
      <c r="C194" s="15" t="inlineStr">
        <is>
          <t>Management</t>
        </is>
      </c>
      <c r="D194" s="16">
        <f>HYPERLINK('Link Config'!$B$2&amp;"plugins/vc/tasks/discover-x-founder-signals.md","Discover X Founder Signals")</f>
        <v/>
      </c>
      <c r="E194" s="15" t="inlineStr">
        <is>
          <t>Find public founder/product/building signals on X through approved Apify tweet-search actors.</t>
        </is>
      </c>
      <c r="F194" s="16">
        <f>HYPERLINK('Link Config'!$B$2&amp;"plugins/vc/agents/vc-sourcing-operator.md","Sourcing Operator")</f>
        <v/>
      </c>
      <c r="G194" s="16">
        <f>HYPERLINK('Link Config'!$B$2&amp;"plugins/vc/skills/citation-enforcement/SKILL.md","citation-enforcement")</f>
        <v/>
      </c>
      <c r="H194" s="15" t="inlineStr"/>
      <c r="I194" s="15" t="inlineStr">
        <is>
          <t>None declared</t>
        </is>
      </c>
      <c r="J194" s="15" t="inlineStr">
        <is>
          <t>discover-x-founder-signals</t>
        </is>
      </c>
      <c r="K194" s="15" t="inlineStr">
        <is>
          <t>project_management</t>
        </is>
      </c>
    </row>
    <row r="195" ht="18" customHeight="1" s="12">
      <c r="A195" s="15" t="inlineStr">
        <is>
          <t>Jay</t>
        </is>
      </c>
      <c r="B195" s="15" t="inlineStr">
        <is>
          <t>Origination Pipeline</t>
        </is>
      </c>
      <c r="C195" s="15" t="inlineStr">
        <is>
          <t>Management</t>
        </is>
      </c>
      <c r="D195" s="16">
        <f>HYPERLINK('Link Config'!$B$2&amp;"plugins/vc/tasks/discover-github-builder-signals.md","Discover GitHub Builder Signals")</f>
        <v/>
      </c>
      <c r="E195" s="15" t="inlineStr">
        <is>
          <t>Discover UK/Ireland technical-founder and AI repository signals using the reference pipeline's two-pass GitHub model.</t>
        </is>
      </c>
      <c r="F195" s="16">
        <f>HYPERLINK('Link Config'!$B$2&amp;"plugins/vc/agents/vc-sourcing-operator.md","Sourcing Operator")</f>
        <v/>
      </c>
      <c r="G195" s="16">
        <f>HYPERLINK('Link Config'!$B$2&amp;"plugins/vc/skills/vc-github-builder-signal-discovery/SKILL.md","vc-github-builder-signal-discovery")</f>
        <v/>
      </c>
      <c r="H195" s="15" t="inlineStr">
        <is>
          <t>None declared</t>
        </is>
      </c>
      <c r="I195" s="15" t="inlineStr">
        <is>
          <t>None declared</t>
        </is>
      </c>
      <c r="J195" s="15" t="inlineStr">
        <is>
          <t>discover-github-builder-signals</t>
        </is>
      </c>
      <c r="K195" s="15" t="inlineStr">
        <is>
          <t>project_management</t>
        </is>
      </c>
    </row>
    <row r="196" ht="18" customHeight="1" s="12">
      <c r="A196" s="15" t="inlineStr">
        <is>
          <t>Jay</t>
        </is>
      </c>
      <c r="B196" s="15" t="inlineStr">
        <is>
          <t>Origination Pipeline</t>
        </is>
      </c>
      <c r="C196" s="15" t="inlineStr">
        <is>
          <t>Management</t>
        </is>
      </c>
      <c r="D196" s="16">
        <f>HYPERLINK('Link Config'!$B$2&amp;"plugins/vc/tasks/discover-github-builder-signals.md","Discover GitHub Builder Signals")</f>
        <v/>
      </c>
      <c r="E196" s="15" t="inlineStr">
        <is>
          <t>Discover UK/Ireland technical-founder and AI repository signals using the reference pipeline's two-pass GitHub model.</t>
        </is>
      </c>
      <c r="F196" s="16">
        <f>HYPERLINK('Link Config'!$B$2&amp;"plugins/vc/agents/vc-sourcing-operator.md","Sourcing Operator")</f>
        <v/>
      </c>
      <c r="G196" s="16">
        <f>HYPERLINK('Link Config'!$B$2&amp;"plugins/vc/skills/vc-source-registry-and-state-management/SKILL.md","vc-source-registry-and-state-management")</f>
        <v/>
      </c>
      <c r="H196" s="15" t="inlineStr"/>
      <c r="I196" s="15" t="inlineStr">
        <is>
          <t>None declared</t>
        </is>
      </c>
      <c r="J196" s="15" t="inlineStr">
        <is>
          <t>discover-github-builder-signals</t>
        </is>
      </c>
      <c r="K196" s="15" t="inlineStr">
        <is>
          <t>project_management</t>
        </is>
      </c>
    </row>
    <row r="197" ht="18" customHeight="1" s="12">
      <c r="A197" s="15" t="inlineStr">
        <is>
          <t>Jay</t>
        </is>
      </c>
      <c r="B197" s="15" t="inlineStr">
        <is>
          <t>Origination Pipeline</t>
        </is>
      </c>
      <c r="C197" s="15" t="inlineStr">
        <is>
          <t>Management</t>
        </is>
      </c>
      <c r="D197" s="16">
        <f>HYPERLINK('Link Config'!$B$2&amp;"plugins/vc/tasks/discover-github-builder-signals.md","Discover GitHub Builder Signals")</f>
        <v/>
      </c>
      <c r="E197" s="15" t="inlineStr">
        <is>
          <t>Discover UK/Ireland technical-founder and AI repository signals using the reference pipeline's two-pass GitHub model.</t>
        </is>
      </c>
      <c r="F197" s="16">
        <f>HYPERLINK('Link Config'!$B$2&amp;"plugins/vc/agents/vc-sourcing-operator.md","Sourcing Operator")</f>
        <v/>
      </c>
      <c r="G197" s="16">
        <f>HYPERLINK('Link Config'!$B$2&amp;"plugins/vc/skills/citation-enforcement/SKILL.md","citation-enforcement")</f>
        <v/>
      </c>
      <c r="H197" s="15" t="inlineStr"/>
      <c r="I197" s="15" t="inlineStr">
        <is>
          <t>None declared</t>
        </is>
      </c>
      <c r="J197" s="15" t="inlineStr">
        <is>
          <t>discover-github-builder-signals</t>
        </is>
      </c>
      <c r="K197" s="15" t="inlineStr">
        <is>
          <t>project_management</t>
        </is>
      </c>
    </row>
    <row r="198" ht="18" customHeight="1" s="12">
      <c r="A198" s="15" t="inlineStr">
        <is>
          <t>Jay</t>
        </is>
      </c>
      <c r="B198" s="15" t="inlineStr">
        <is>
          <t>Origination Pipeline</t>
        </is>
      </c>
      <c r="C198" s="15" t="inlineStr">
        <is>
          <t>Management</t>
        </is>
      </c>
      <c r="D198" s="16">
        <f>HYPERLINK('Link Config'!$B$2&amp;"plugins/vc/tasks/discover-linkedin-founders.md","Discover LinkedIn Founder Candidates")</f>
        <v/>
      </c>
      <c r="E198" s="15" t="inlineStr">
        <is>
          <t>Find early UK/Ireland AI founder and company candidates through approved Apify LinkedIn actor tracks.</t>
        </is>
      </c>
      <c r="F198" s="16">
        <f>HYPERLINK('Link Config'!$B$2&amp;"plugins/vc/agents/vc-sourcing-operator.md","Sourcing Operator")</f>
        <v/>
      </c>
      <c r="G198" s="16">
        <f>HYPERLINK('Link Config'!$B$2&amp;"plugins/vc/skills/vc-apify-linkedin-founder-discovery/SKILL.md","vc-apify-linkedin-founder-discovery")</f>
        <v/>
      </c>
      <c r="H198" s="15" t="inlineStr">
        <is>
          <t>None declared</t>
        </is>
      </c>
      <c r="I198" s="15" t="inlineStr">
        <is>
          <t>None declared</t>
        </is>
      </c>
      <c r="J198" s="15" t="inlineStr">
        <is>
          <t>discover-linkedin-founders</t>
        </is>
      </c>
      <c r="K198" s="15" t="inlineStr">
        <is>
          <t>project_management</t>
        </is>
      </c>
    </row>
    <row r="199" ht="18" customHeight="1" s="12">
      <c r="A199" s="15" t="inlineStr">
        <is>
          <t>Jay</t>
        </is>
      </c>
      <c r="B199" s="15" t="inlineStr">
        <is>
          <t>Origination Pipeline</t>
        </is>
      </c>
      <c r="C199" s="15" t="inlineStr">
        <is>
          <t>Management</t>
        </is>
      </c>
      <c r="D199" s="16">
        <f>HYPERLINK('Link Config'!$B$2&amp;"plugins/vc/tasks/discover-linkedin-founders.md","Discover LinkedIn Founder Candidates")</f>
        <v/>
      </c>
      <c r="E199" s="15" t="inlineStr">
        <is>
          <t>Find early UK/Ireland AI founder and company candidates through approved Apify LinkedIn actor tracks.</t>
        </is>
      </c>
      <c r="F199" s="16">
        <f>HYPERLINK('Link Config'!$B$2&amp;"plugins/vc/agents/vc-sourcing-operator.md","Sourcing Operator")</f>
        <v/>
      </c>
      <c r="G199" s="16">
        <f>HYPERLINK('Link Config'!$B$2&amp;"plugins/vc/skills/vc-source-registry-and-state-management/SKILL.md","vc-source-registry-and-state-management")</f>
        <v/>
      </c>
      <c r="H199" s="15" t="inlineStr"/>
      <c r="I199" s="15" t="inlineStr">
        <is>
          <t>None declared</t>
        </is>
      </c>
      <c r="J199" s="15" t="inlineStr">
        <is>
          <t>discover-linkedin-founders</t>
        </is>
      </c>
      <c r="K199" s="15" t="inlineStr">
        <is>
          <t>project_management</t>
        </is>
      </c>
    </row>
    <row r="200" ht="18" customHeight="1" s="12">
      <c r="A200" s="15" t="inlineStr">
        <is>
          <t>Jay</t>
        </is>
      </c>
      <c r="B200" s="15" t="inlineStr">
        <is>
          <t>Origination Pipeline</t>
        </is>
      </c>
      <c r="C200" s="15" t="inlineStr">
        <is>
          <t>Management</t>
        </is>
      </c>
      <c r="D200" s="16">
        <f>HYPERLINK('Link Config'!$B$2&amp;"plugins/vc/tasks/discover-linkedin-founders.md","Discover LinkedIn Founder Candidates")</f>
        <v/>
      </c>
      <c r="E200" s="15" t="inlineStr">
        <is>
          <t>Find early UK/Ireland AI founder and company candidates through approved Apify LinkedIn actor tracks.</t>
        </is>
      </c>
      <c r="F200" s="16">
        <f>HYPERLINK('Link Config'!$B$2&amp;"plugins/vc/agents/vc-sourcing-operator.md","Sourcing Operator")</f>
        <v/>
      </c>
      <c r="G200" s="16">
        <f>HYPERLINK('Link Config'!$B$2&amp;"plugins/vc/skills/citation-enforcement/SKILL.md","citation-enforcement")</f>
        <v/>
      </c>
      <c r="H200" s="15" t="inlineStr"/>
      <c r="I200" s="15" t="inlineStr">
        <is>
          <t>None declared</t>
        </is>
      </c>
      <c r="J200" s="15" t="inlineStr">
        <is>
          <t>discover-linkedin-founders</t>
        </is>
      </c>
      <c r="K200" s="15" t="inlineStr">
        <is>
          <t>project_management</t>
        </is>
      </c>
    </row>
    <row r="201" ht="18" customHeight="1" s="12">
      <c r="A201" s="15" t="inlineStr">
        <is>
          <t>Jay</t>
        </is>
      </c>
      <c r="B201" s="15" t="inlineStr">
        <is>
          <t>Origination Pipeline</t>
        </is>
      </c>
      <c r="C201" s="15" t="inlineStr">
        <is>
          <t>Management</t>
        </is>
      </c>
      <c r="D201" s="16">
        <f>HYPERLINK('Link Config'!$B$2&amp;"plugins/vc/tasks/discover-reddit-builder-signals.md","Discover Reddit Builder Signals")</f>
        <v/>
      </c>
      <c r="E201" s="15" t="inlineStr">
        <is>
          <t>Discover public Reddit builder posts that may indicate early AI startup candidates.</t>
        </is>
      </c>
      <c r="F201" s="16">
        <f>HYPERLINK('Link Config'!$B$2&amp;"plugins/vc/agents/vc-sourcing-operator.md","Sourcing Operator")</f>
        <v/>
      </c>
      <c r="G201" s="16">
        <f>HYPERLINK('Link Config'!$B$2&amp;"plugins/vc/skills/vc-reddit-builder-signal-discovery/SKILL.md","vc-reddit-builder-signal-discovery")</f>
        <v/>
      </c>
      <c r="H201" s="15" t="inlineStr">
        <is>
          <t>None declared</t>
        </is>
      </c>
      <c r="I201" s="15" t="inlineStr">
        <is>
          <t>None declared</t>
        </is>
      </c>
      <c r="J201" s="15" t="inlineStr">
        <is>
          <t>discover-reddit-builder-signals</t>
        </is>
      </c>
      <c r="K201" s="15" t="inlineStr">
        <is>
          <t>project_management</t>
        </is>
      </c>
    </row>
    <row r="202" ht="18" customHeight="1" s="12">
      <c r="A202" s="15" t="inlineStr">
        <is>
          <t>Jay</t>
        </is>
      </c>
      <c r="B202" s="15" t="inlineStr">
        <is>
          <t>Origination Pipeline</t>
        </is>
      </c>
      <c r="C202" s="15" t="inlineStr">
        <is>
          <t>Management</t>
        </is>
      </c>
      <c r="D202" s="16">
        <f>HYPERLINK('Link Config'!$B$2&amp;"plugins/vc/tasks/discover-reddit-builder-signals.md","Discover Reddit Builder Signals")</f>
        <v/>
      </c>
      <c r="E202" s="15" t="inlineStr">
        <is>
          <t>Discover public Reddit builder posts that may indicate early AI startup candidates.</t>
        </is>
      </c>
      <c r="F202" s="16">
        <f>HYPERLINK('Link Config'!$B$2&amp;"plugins/vc/agents/vc-sourcing-operator.md","Sourcing Operator")</f>
        <v/>
      </c>
      <c r="G202" s="16">
        <f>HYPERLINK('Link Config'!$B$2&amp;"plugins/vc/skills/vc-source-registry-and-state-management/SKILL.md","vc-source-registry-and-state-management")</f>
        <v/>
      </c>
      <c r="H202" s="15" t="inlineStr"/>
      <c r="I202" s="15" t="inlineStr">
        <is>
          <t>None declared</t>
        </is>
      </c>
      <c r="J202" s="15" t="inlineStr">
        <is>
          <t>discover-reddit-builder-signals</t>
        </is>
      </c>
      <c r="K202" s="15" t="inlineStr">
        <is>
          <t>project_management</t>
        </is>
      </c>
    </row>
    <row r="203" ht="18" customHeight="1" s="12">
      <c r="A203" s="15" t="inlineStr">
        <is>
          <t>Jay</t>
        </is>
      </c>
      <c r="B203" s="15" t="inlineStr">
        <is>
          <t>Origination Pipeline</t>
        </is>
      </c>
      <c r="C203" s="15" t="inlineStr">
        <is>
          <t>Management</t>
        </is>
      </c>
      <c r="D203" s="16">
        <f>HYPERLINK('Link Config'!$B$2&amp;"plugins/vc/tasks/discover-reddit-builder-signals.md","Discover Reddit Builder Signals")</f>
        <v/>
      </c>
      <c r="E203" s="15" t="inlineStr">
        <is>
          <t>Discover public Reddit builder posts that may indicate early AI startup candidates.</t>
        </is>
      </c>
      <c r="F203" s="16">
        <f>HYPERLINK('Link Config'!$B$2&amp;"plugins/vc/agents/vc-sourcing-operator.md","Sourcing Operator")</f>
        <v/>
      </c>
      <c r="G203" s="16">
        <f>HYPERLINK('Link Config'!$B$2&amp;"plugins/vc/skills/citation-enforcement/SKILL.md","citation-enforcement")</f>
        <v/>
      </c>
      <c r="H203" s="15" t="inlineStr"/>
      <c r="I203" s="15" t="inlineStr">
        <is>
          <t>None declared</t>
        </is>
      </c>
      <c r="J203" s="15" t="inlineStr">
        <is>
          <t>discover-reddit-builder-signals</t>
        </is>
      </c>
      <c r="K203" s="15" t="inlineStr">
        <is>
          <t>project_management</t>
        </is>
      </c>
    </row>
    <row r="204" ht="18" customHeight="1" s="12">
      <c r="A204" s="15" t="inlineStr">
        <is>
          <t>Jay</t>
        </is>
      </c>
      <c r="B204" s="15" t="inlineStr">
        <is>
          <t>Origination Pipeline</t>
        </is>
      </c>
      <c r="C204" s="15" t="inlineStr">
        <is>
          <t>Management</t>
        </is>
      </c>
      <c r="D204" s="16">
        <f>HYPERLINK('Link Config'!$B$2&amp;"plugins/vc/tasks/review-portfolio-overlap.md","Review Portfolio Overlap")</f>
        <v/>
      </c>
      <c r="E204" s="15" t="inlineStr">
        <is>
          <t>Compare active sourcing candidates against portfolio companies and flag possible competitive overlap.</t>
        </is>
      </c>
      <c r="F204" s="16">
        <f>HYPERLINK('Link Config'!$B$2&amp;"plugins/vc/agents/vc-sourcing-operator.md","Sourcing Operator")</f>
        <v/>
      </c>
      <c r="G204" s="16">
        <f>HYPERLINK('Link Config'!$B$2&amp;"plugins/vc/skills/vc-portfolio-overlap-review/SKILL.md","vc-portfolio-overlap-review")</f>
        <v/>
      </c>
      <c r="H204" s="15" t="inlineStr">
        <is>
          <t>None declared</t>
        </is>
      </c>
      <c r="I204" s="15" t="inlineStr">
        <is>
          <t>None declared</t>
        </is>
      </c>
      <c r="J204" s="15" t="inlineStr">
        <is>
          <t>review-portfolio-overlap</t>
        </is>
      </c>
      <c r="K204" s="15" t="inlineStr">
        <is>
          <t>project_management</t>
        </is>
      </c>
    </row>
    <row r="205" ht="18" customHeight="1" s="12">
      <c r="A205" s="15" t="inlineStr">
        <is>
          <t>Jay</t>
        </is>
      </c>
      <c r="B205" s="15" t="inlineStr">
        <is>
          <t>Origination Pipeline</t>
        </is>
      </c>
      <c r="C205" s="15" t="inlineStr">
        <is>
          <t>Management</t>
        </is>
      </c>
      <c r="D205" s="16">
        <f>HYPERLINK('Link Config'!$B$2&amp;"plugins/vc/tasks/review-portfolio-overlap.md","Review Portfolio Overlap")</f>
        <v/>
      </c>
      <c r="E205" s="15" t="inlineStr">
        <is>
          <t>Compare active sourcing candidates against portfolio companies and flag possible competitive overlap.</t>
        </is>
      </c>
      <c r="F205" s="16">
        <f>HYPERLINK('Link Config'!$B$2&amp;"plugins/vc/agents/vc-sourcing-operator.md","Sourcing Operator")</f>
        <v/>
      </c>
      <c r="G205" s="16">
        <f>HYPERLINK('Link Config'!$B$2&amp;"plugins/vc/skills/citation-enforcement/SKILL.md","citation-enforcement")</f>
        <v/>
      </c>
      <c r="H205" s="15" t="inlineStr"/>
      <c r="I205" s="15" t="inlineStr">
        <is>
          <t>None declared</t>
        </is>
      </c>
      <c r="J205" s="15" t="inlineStr">
        <is>
          <t>review-portfolio-overlap</t>
        </is>
      </c>
      <c r="K205" s="15" t="inlineStr">
        <is>
          <t>project_management</t>
        </is>
      </c>
    </row>
    <row r="206" ht="18" customHeight="1" s="12">
      <c r="A206" s="15" t="inlineStr">
        <is>
          <t>Jay</t>
        </is>
      </c>
      <c r="B206" s="15" t="inlineStr">
        <is>
          <t>Origination Pipeline</t>
        </is>
      </c>
      <c r="C206" s="15" t="inlineStr">
        <is>
          <t>Management</t>
        </is>
      </c>
      <c r="D206" s="16">
        <f>HYPERLINK('Link Config'!$B$2&amp;"plugins/vc/tasks/review-portfolio-overlap.md","Review Portfolio Overlap")</f>
        <v/>
      </c>
      <c r="E206" s="15" t="inlineStr">
        <is>
          <t>Compare active sourcing candidates against portfolio companies and flag possible competitive overlap.</t>
        </is>
      </c>
      <c r="F206" s="16">
        <f>HYPERLINK('Link Config'!$B$2&amp;"plugins/vc/agents/vc-sourcing-operator.md","Sourcing Operator")</f>
        <v/>
      </c>
      <c r="G206" s="16">
        <f>HYPERLINK('Link Config'!$B$2&amp;"plugins/vc/skills/vc-relationship-context-check/SKILL.md","vc-relationship-context-check")</f>
        <v/>
      </c>
      <c r="H206" s="15" t="inlineStr"/>
      <c r="I206" s="15" t="inlineStr">
        <is>
          <t>None declared</t>
        </is>
      </c>
      <c r="J206" s="15" t="inlineStr">
        <is>
          <t>review-portfolio-overlap</t>
        </is>
      </c>
      <c r="K206" s="15" t="inlineStr">
        <is>
          <t>project_management</t>
        </is>
      </c>
    </row>
    <row r="207" ht="18" customHeight="1" s="12">
      <c r="A207" s="15" t="inlineStr">
        <is>
          <t>Jay</t>
        </is>
      </c>
      <c r="B207" s="15" t="inlineStr">
        <is>
          <t>Origination Pipeline</t>
        </is>
      </c>
      <c r="C207" s="15" t="inlineStr">
        <is>
          <t>Management</t>
        </is>
      </c>
      <c r="D207" s="16">
        <f>HYPERLINK('Link Config'!$B$2&amp;"plugins/vc/tasks/screen-active-sourcing-candidates.md","Screen Active Sourcing Candidates")</f>
        <v/>
      </c>
      <c r="E207" s="15" t="inlineStr">
        <is>
          <t>Run an origination-specific thesis screen on active Meet, IC-Summary, or Reach out candidates.</t>
        </is>
      </c>
      <c r="F207" s="16">
        <f>HYPERLINK('Link Config'!$B$2&amp;"plugins/vc/agents/vc-sourcing-operator.md","Sourcing Operator")</f>
        <v/>
      </c>
      <c r="G207" s="16">
        <f>HYPERLINK('Link Config'!$B$2&amp;"plugins/vc/skills/vc-sourcing-verdict-and-screening/SKILL.md","vc-sourcing-verdict-and-screening")</f>
        <v/>
      </c>
      <c r="H207" s="16">
        <f>HYPERLINK('Link Config'!$B$2&amp;"plugins/vc/alludium/documents/origination/sourcing-scoring-rubric.md","Sourcing Scoring Rubric (methodology, to screening_artifact_id)")</f>
        <v/>
      </c>
      <c r="I207" s="15" t="inlineStr">
        <is>
          <t>None declared</t>
        </is>
      </c>
      <c r="J207" s="15" t="inlineStr">
        <is>
          <t>screen-active-sourcing-candidates</t>
        </is>
      </c>
      <c r="K207" s="15" t="inlineStr">
        <is>
          <t>project_management</t>
        </is>
      </c>
    </row>
    <row r="208" ht="18" customHeight="1" s="12">
      <c r="A208" s="15" t="inlineStr">
        <is>
          <t>Jay</t>
        </is>
      </c>
      <c r="B208" s="15" t="inlineStr">
        <is>
          <t>Origination Pipeline</t>
        </is>
      </c>
      <c r="C208" s="15" t="inlineStr">
        <is>
          <t>Management</t>
        </is>
      </c>
      <c r="D208" s="16">
        <f>HYPERLINK('Link Config'!$B$2&amp;"plugins/vc/tasks/screen-active-sourcing-candidates.md","Screen Active Sourcing Candidates")</f>
        <v/>
      </c>
      <c r="E208" s="15" t="inlineStr">
        <is>
          <t>Run an origination-specific thesis screen on active Meet, IC-Summary, or Reach out candidates.</t>
        </is>
      </c>
      <c r="F208" s="16">
        <f>HYPERLINK('Link Config'!$B$2&amp;"plugins/vc/agents/vc-sourcing-operator.md","Sourcing Operator")</f>
        <v/>
      </c>
      <c r="G208" s="16">
        <f>HYPERLINK('Link Config'!$B$2&amp;"plugins/vc/skills/citation-enforcement/SKILL.md","citation-enforcement")</f>
        <v/>
      </c>
      <c r="H208" s="16">
        <f>HYPERLINK('Link Config'!$B$2&amp;"plugins/vc/alludium/documents/origination/origination-source-strategy-guide.md","Origination Source Strategy Guide (methodology)")</f>
        <v/>
      </c>
      <c r="I208" s="15" t="inlineStr">
        <is>
          <t>None declared</t>
        </is>
      </c>
      <c r="J208" s="15" t="inlineStr">
        <is>
          <t>screen-active-sourcing-candidates</t>
        </is>
      </c>
      <c r="K208" s="15" t="inlineStr">
        <is>
          <t>project_management</t>
        </is>
      </c>
    </row>
    <row r="209" ht="18" customHeight="1" s="12">
      <c r="A209" s="15" t="inlineStr">
        <is>
          <t>Jay</t>
        </is>
      </c>
      <c r="B209" s="15" t="inlineStr">
        <is>
          <t>Origination Pipeline</t>
        </is>
      </c>
      <c r="C209" s="15" t="inlineStr">
        <is>
          <t>Management</t>
        </is>
      </c>
      <c r="D209" s="16">
        <f>HYPERLINK('Link Config'!$B$2&amp;"plugins/vc/tasks/screen-active-sourcing-candidates.md","Screen Active Sourcing Candidates")</f>
        <v/>
      </c>
      <c r="E209" s="15" t="inlineStr">
        <is>
          <t>Run an origination-specific thesis screen on active Meet, IC-Summary, or Reach out candidates.</t>
        </is>
      </c>
      <c r="F209" s="16">
        <f>HYPERLINK('Link Config'!$B$2&amp;"plugins/vc/agents/vc-sourcing-operator.md","Sourcing Operator")</f>
        <v/>
      </c>
      <c r="G209" s="16">
        <f>HYPERLINK('Link Config'!$B$2&amp;"plugins/vc/skills/investment-screening-framework/SKILL.md","investment-screening-framework")</f>
        <v/>
      </c>
      <c r="H209" s="16">
        <f>HYPERLINK('Link Config'!$B$2&amp;"plugins/vc/alludium/documents/origination/dedupe-novelty-policy.md","Dedupe And Novelty Policy (policy)")</f>
        <v/>
      </c>
      <c r="I209" s="15" t="inlineStr">
        <is>
          <t>None declared</t>
        </is>
      </c>
      <c r="J209" s="15" t="inlineStr">
        <is>
          <t>screen-active-sourcing-candidates</t>
        </is>
      </c>
      <c r="K209" s="15" t="inlineStr">
        <is>
          <t>project_management</t>
        </is>
      </c>
    </row>
    <row r="210" ht="18" customHeight="1" s="12">
      <c r="A210" s="15" t="inlineStr">
        <is>
          <t>Jay</t>
        </is>
      </c>
      <c r="B210" s="15" t="inlineStr">
        <is>
          <t>Origination Pipeline</t>
        </is>
      </c>
      <c r="C210" s="15" t="inlineStr">
        <is>
          <t>Management</t>
        </is>
      </c>
      <c r="D210" s="16">
        <f>HYPERLINK('Link Config'!$B$2&amp;"plugins/vc/tasks/screen-active-sourcing-candidates.md","Screen Active Sourcing Candidates")</f>
        <v/>
      </c>
      <c r="E210" s="15" t="inlineStr">
        <is>
          <t>Run an origination-specific thesis screen on active Meet, IC-Summary, or Reach out candidates.</t>
        </is>
      </c>
      <c r="F210" s="16">
        <f>HYPERLINK('Link Config'!$B$2&amp;"plugins/vc/agents/vc-sourcing-operator.md","Sourcing Operator")</f>
        <v/>
      </c>
      <c r="G210" s="15" t="inlineStr"/>
      <c r="H210" s="16">
        <f>HYPERLINK('Link Config'!$B$2&amp;"plugins/vc/alludium/documents/shared/template-use-guidance.md","Template Use Guidance (operating_guidance)")</f>
        <v/>
      </c>
      <c r="I210" s="15" t="inlineStr">
        <is>
          <t>None declared</t>
        </is>
      </c>
      <c r="J210" s="15" t="inlineStr">
        <is>
          <t>screen-active-sourcing-candidates</t>
        </is>
      </c>
      <c r="K210" s="15" t="inlineStr">
        <is>
          <t>project_management</t>
        </is>
      </c>
    </row>
    <row r="211" ht="18" customHeight="1" s="12">
      <c r="A211" s="15" t="inlineStr">
        <is>
          <t>Jay</t>
        </is>
      </c>
      <c r="B211" s="15" t="inlineStr">
        <is>
          <t>Origination Pipeline</t>
        </is>
      </c>
      <c r="C211" s="15" t="inlineStr">
        <is>
          <t>Management</t>
        </is>
      </c>
      <c r="D211" s="16">
        <f>HYPERLINK('Link Config'!$B$2&amp;"plugins/vc/tasks/prepare-outreach-draft-queue.md","Prepare Outreach Draft Queue")</f>
        <v/>
      </c>
      <c r="E211" s="15" t="inlineStr">
        <is>
          <t>Draft founder outreach notes for active candidates while leaving send decisions to humans.</t>
        </is>
      </c>
      <c r="F211" s="16">
        <f>HYPERLINK('Link Config'!$B$2&amp;"plugins/vc/agents/vc-sourcing-operator.md","Sourcing Operator")</f>
        <v/>
      </c>
      <c r="G211" s="16">
        <f>HYPERLINK('Link Config'!$B$2&amp;"plugins/vc/skills/vc-outreach-draft-queue/SKILL.md","vc-outreach-draft-queue")</f>
        <v/>
      </c>
      <c r="H211" s="16">
        <f>HYPERLINK('Link Config'!$B$2&amp;"plugins/vc/alludium/documents/origination/outreach-queue-template.md","Outreach Queue Template (output_template, to outreach_queue_artifact_id)")</f>
        <v/>
      </c>
      <c r="I211" s="15" t="inlineStr">
        <is>
          <t>None declared</t>
        </is>
      </c>
      <c r="J211" s="15" t="inlineStr">
        <is>
          <t>prepare-outreach-draft-queue</t>
        </is>
      </c>
      <c r="K211" s="15" t="inlineStr">
        <is>
          <t>project_management</t>
        </is>
      </c>
    </row>
    <row r="212" ht="18" customHeight="1" s="12">
      <c r="A212" s="15" t="inlineStr">
        <is>
          <t>Jay</t>
        </is>
      </c>
      <c r="B212" s="15" t="inlineStr">
        <is>
          <t>Origination Pipeline</t>
        </is>
      </c>
      <c r="C212" s="15" t="inlineStr">
        <is>
          <t>Management</t>
        </is>
      </c>
      <c r="D212" s="16">
        <f>HYPERLINK('Link Config'!$B$2&amp;"plugins/vc/tasks/prepare-outreach-draft-queue.md","Prepare Outreach Draft Queue")</f>
        <v/>
      </c>
      <c r="E212" s="15" t="inlineStr">
        <is>
          <t>Draft founder outreach notes for active candidates while leaving send decisions to humans.</t>
        </is>
      </c>
      <c r="F212" s="16">
        <f>HYPERLINK('Link Config'!$B$2&amp;"plugins/vc/agents/vc-sourcing-operator.md","Sourcing Operator")</f>
        <v/>
      </c>
      <c r="G212" s="16">
        <f>HYPERLINK('Link Config'!$B$2&amp;"plugins/vc/skills/citation-enforcement/SKILL.md","citation-enforcement")</f>
        <v/>
      </c>
      <c r="H212" s="16">
        <f>HYPERLINK('Link Config'!$B$2&amp;"plugins/vc/alludium/documents/shared/template-use-guidance.md","Template Use Guidance (operating_guidance)")</f>
        <v/>
      </c>
      <c r="I212" s="15" t="inlineStr">
        <is>
          <t>None declared</t>
        </is>
      </c>
      <c r="J212" s="15" t="inlineStr">
        <is>
          <t>prepare-outreach-draft-queue</t>
        </is>
      </c>
      <c r="K212" s="15" t="inlineStr">
        <is>
          <t>project_management</t>
        </is>
      </c>
    </row>
    <row r="213" ht="18" customHeight="1" s="12">
      <c r="A213" s="15" t="inlineStr">
        <is>
          <t>Jay</t>
        </is>
      </c>
      <c r="B213" s="15" t="inlineStr">
        <is>
          <t>Origination Pipeline</t>
        </is>
      </c>
      <c r="C213" s="15" t="inlineStr">
        <is>
          <t>Management</t>
        </is>
      </c>
      <c r="D213" s="16">
        <f>HYPERLINK('Link Config'!$B$2&amp;"plugins/vc/tasks/prepare-outreach-draft-queue.md","Prepare Outreach Draft Queue")</f>
        <v/>
      </c>
      <c r="E213" s="15" t="inlineStr">
        <is>
          <t>Draft founder outreach notes for active candidates while leaving send decisions to humans.</t>
        </is>
      </c>
      <c r="F213" s="16">
        <f>HYPERLINK('Link Config'!$B$2&amp;"plugins/vc/agents/vc-sourcing-operator.md","Sourcing Operator")</f>
        <v/>
      </c>
      <c r="G213" s="16">
        <f>HYPERLINK('Link Config'!$B$2&amp;"plugins/vc/skills/founder-outreach-and-intro-paths/SKILL.md","founder-outreach-and-intro-paths")</f>
        <v/>
      </c>
      <c r="H213" s="15" t="inlineStr"/>
      <c r="I213" s="15" t="inlineStr">
        <is>
          <t>None declared</t>
        </is>
      </c>
      <c r="J213" s="15" t="inlineStr">
        <is>
          <t>prepare-outreach-draft-queue</t>
        </is>
      </c>
      <c r="K213" s="15" t="inlineStr">
        <is>
          <t>project_management</t>
        </is>
      </c>
    </row>
    <row r="214" ht="18" customHeight="1" s="12">
      <c r="A214" s="15" t="inlineStr">
        <is>
          <t>Jay</t>
        </is>
      </c>
      <c r="B214" s="15" t="inlineStr">
        <is>
          <t>Origination Pipeline</t>
        </is>
      </c>
      <c r="C214" s="15" t="inlineStr">
        <is>
          <t>Management</t>
        </is>
      </c>
      <c r="D214" s="16">
        <f>HYPERLINK('Link Config'!$B$2&amp;"plugins/vc/tasks/audit-linkedin-query-spend.md","Audit LinkedIn Query Spend")</f>
        <v/>
      </c>
      <c r="E214" s="15" t="inlineStr">
        <is>
          <t>Produce a read-only Apify LinkedIn query yield and cost audit with manual KEEP/REVIEW/PRUNE recommendations.</t>
        </is>
      </c>
      <c r="F214" s="16">
        <f>HYPERLINK('Link Config'!$B$2&amp;"plugins/vc/agents/vc-sourcing-operator.md","Sourcing Operator")</f>
        <v/>
      </c>
      <c r="G214" s="16">
        <f>HYPERLINK('Link Config'!$B$2&amp;"plugins/vc/skills/vc-linkedin-query-spend-audit/SKILL.md","vc-linkedin-query-spend-audit")</f>
        <v/>
      </c>
      <c r="H214" s="16">
        <f>HYPERLINK('Link Config'!$B$2&amp;"plugins/vc/alludium/documents/origination/paid-source-spend-audit-checklist.md","Paid Source Spend Audit Checklist (output_template, to linkedin_spend_audit_artifact_id)")</f>
        <v/>
      </c>
      <c r="I214" s="15" t="inlineStr">
        <is>
          <t>None declared</t>
        </is>
      </c>
      <c r="J214" s="15" t="inlineStr">
        <is>
          <t>audit-linkedin-query-spend</t>
        </is>
      </c>
      <c r="K214" s="15" t="inlineStr">
        <is>
          <t>project_management</t>
        </is>
      </c>
    </row>
    <row r="215" ht="18" customHeight="1" s="12">
      <c r="A215" s="15" t="inlineStr">
        <is>
          <t>Jay</t>
        </is>
      </c>
      <c r="B215" s="15" t="inlineStr">
        <is>
          <t>Origination Pipeline</t>
        </is>
      </c>
      <c r="C215" s="15" t="inlineStr">
        <is>
          <t>Management</t>
        </is>
      </c>
      <c r="D215" s="16">
        <f>HYPERLINK('Link Config'!$B$2&amp;"plugins/vc/tasks/audit-linkedin-query-spend.md","Audit LinkedIn Query Spend")</f>
        <v/>
      </c>
      <c r="E215" s="15" t="inlineStr">
        <is>
          <t>Produce a read-only Apify LinkedIn query yield and cost audit with manual KEEP/REVIEW/PRUNE recommendations.</t>
        </is>
      </c>
      <c r="F215" s="16">
        <f>HYPERLINK('Link Config'!$B$2&amp;"plugins/vc/agents/vc-sourcing-operator.md","Sourcing Operator")</f>
        <v/>
      </c>
      <c r="G215" s="16">
        <f>HYPERLINK('Link Config'!$B$2&amp;"plugins/vc/skills/vc-source-registry-and-state-management/SKILL.md","vc-source-registry-and-state-management")</f>
        <v/>
      </c>
      <c r="H215" s="16">
        <f>HYPERLINK('Link Config'!$B$2&amp;"plugins/vc/alludium/documents/shared/template-use-guidance.md","Template Use Guidance (operating_guidance)")</f>
        <v/>
      </c>
      <c r="I215" s="15" t="inlineStr">
        <is>
          <t>None declared</t>
        </is>
      </c>
      <c r="J215" s="15" t="inlineStr">
        <is>
          <t>audit-linkedin-query-spend</t>
        </is>
      </c>
      <c r="K215" s="15" t="inlineStr">
        <is>
          <t>project_management</t>
        </is>
      </c>
    </row>
    <row r="216" ht="18" customHeight="1" s="12">
      <c r="A216" s="15" t="inlineStr">
        <is>
          <t>Jay</t>
        </is>
      </c>
      <c r="B216" s="15" t="inlineStr">
        <is>
          <t>Origination Pipeline</t>
        </is>
      </c>
      <c r="C216" s="15" t="inlineStr">
        <is>
          <t>Management</t>
        </is>
      </c>
      <c r="D216" s="16">
        <f>HYPERLINK('Link Config'!$B$2&amp;"plugins/vc/tasks/audit-linkedin-query-spend.md","Audit LinkedIn Query Spend")</f>
        <v/>
      </c>
      <c r="E216" s="15" t="inlineStr">
        <is>
          <t>Produce a read-only Apify LinkedIn query yield and cost audit with manual KEEP/REVIEW/PRUNE recommendations.</t>
        </is>
      </c>
      <c r="F216" s="16">
        <f>HYPERLINK('Link Config'!$B$2&amp;"plugins/vc/agents/vc-sourcing-operator.md","Sourcing Operator")</f>
        <v/>
      </c>
      <c r="G216" s="16">
        <f>HYPERLINK('Link Config'!$B$2&amp;"plugins/vc/skills/citation-enforcement/SKILL.md","citation-enforcement")</f>
        <v/>
      </c>
      <c r="H216" s="15" t="inlineStr"/>
      <c r="I216" s="15" t="inlineStr">
        <is>
          <t>None declared</t>
        </is>
      </c>
      <c r="J216" s="15" t="inlineStr">
        <is>
          <t>audit-linkedin-query-spend</t>
        </is>
      </c>
      <c r="K216" s="15" t="inlineStr">
        <is>
          <t>project_management</t>
        </is>
      </c>
    </row>
    <row r="217" ht="18" customHeight="1" s="12">
      <c r="A217" s="15" t="inlineStr"/>
      <c r="B217" s="15" t="inlineStr">
        <is>
          <t>Origination Pipeline</t>
        </is>
      </c>
      <c r="C217" s="15" t="inlineStr">
        <is>
          <t>Management</t>
        </is>
      </c>
      <c r="D217" s="16">
        <f>HYPERLINK('Link Config'!$B$2&amp;"plugins/vc/tasks/apify-discovery.md","Explore Apify Origination Sources")</f>
        <v/>
      </c>
      <c r="E217" s="15" t="inlineStr">
        <is>
          <t>Discover approved Apify actors, input schemas, source scope, and run-cost guardrails before any VC origination read preview.</t>
        </is>
      </c>
      <c r="F217" s="16">
        <f>HYPERLINK('Link Config'!$B$2&amp;"plugins/vc/agents/vc-integration-operator.md","Integration Operator")</f>
        <v/>
      </c>
      <c r="G217" s="16">
        <f>HYPERLINK('Link Config'!$B$2&amp;"plugins/vc/skills/vc-apify-discovery/SKILL.md","vc-apify-discovery")</f>
        <v/>
      </c>
      <c r="H217" s="15" t="inlineStr">
        <is>
          <t>None declared</t>
        </is>
      </c>
      <c r="I217" s="15" t="inlineStr">
        <is>
          <t>None declared</t>
        </is>
      </c>
      <c r="J217" s="15" t="inlineStr">
        <is>
          <t>apify-discovery</t>
        </is>
      </c>
      <c r="K217" s="15" t="inlineStr">
        <is>
          <t>project_management</t>
        </is>
      </c>
    </row>
    <row r="218" ht="18" customHeight="1" s="12">
      <c r="A218" s="15" t="inlineStr"/>
      <c r="B218" s="15" t="inlineStr">
        <is>
          <t>Origination Pipeline</t>
        </is>
      </c>
      <c r="C218" s="15" t="inlineStr">
        <is>
          <t>Management</t>
        </is>
      </c>
      <c r="D218" s="16">
        <f>HYPERLINK('Link Config'!$B$2&amp;"plugins/vc/tasks/apify-discovery.md","Explore Apify Origination Sources")</f>
        <v/>
      </c>
      <c r="E218" s="15" t="inlineStr">
        <is>
          <t>Discover approved Apify actors, input schemas, source scope, and run-cost guardrails before any VC origination read preview.</t>
        </is>
      </c>
      <c r="F218" s="16">
        <f>HYPERLINK('Link Config'!$B$2&amp;"plugins/vc/agents/vc-integration-operator.md","Integration Operator")</f>
        <v/>
      </c>
      <c r="G218" s="16">
        <f>HYPERLINK('Link Config'!$B$2&amp;"plugins/vc/skills/citation-enforcement/SKILL.md","citation-enforcement")</f>
        <v/>
      </c>
      <c r="H218" s="15" t="inlineStr"/>
      <c r="I218" s="15" t="inlineStr">
        <is>
          <t>None declared</t>
        </is>
      </c>
      <c r="J218" s="15" t="inlineStr">
        <is>
          <t>apify-discovery</t>
        </is>
      </c>
      <c r="K218" s="15" t="inlineStr">
        <is>
          <t>project_management</t>
        </is>
      </c>
    </row>
    <row r="219" ht="18" customHeight="1" s="12">
      <c r="A219" s="15" t="inlineStr"/>
      <c r="B219" s="15" t="inlineStr">
        <is>
          <t>Origination Pipeline</t>
        </is>
      </c>
      <c r="C219" s="15" t="inlineStr">
        <is>
          <t>Management</t>
        </is>
      </c>
      <c r="D219" s="16">
        <f>HYPERLINK('Link Config'!$B$2&amp;"plugins/vc/tasks/companies-house-discovery.md","Explore Companies House Public Register Scope")</f>
        <v/>
      </c>
      <c r="E219" s="15" t="inlineStr">
        <is>
          <t>Discover public Companies House search URLs, result limits, and page-preview scope before selected VC origination reads.</t>
        </is>
      </c>
      <c r="F219" s="16">
        <f>HYPERLINK('Link Config'!$B$2&amp;"plugins/vc/agents/vc-integration-operator.md","Integration Operator")</f>
        <v/>
      </c>
      <c r="G219" s="16">
        <f>HYPERLINK('Link Config'!$B$2&amp;"plugins/vc/skills/vc-companies-house-sourcing/SKILL.md","vc-companies-house-sourcing")</f>
        <v/>
      </c>
      <c r="H219" s="15" t="inlineStr">
        <is>
          <t>None declared</t>
        </is>
      </c>
      <c r="I219" s="15" t="inlineStr">
        <is>
          <t>None declared</t>
        </is>
      </c>
      <c r="J219" s="15" t="inlineStr">
        <is>
          <t>companies-house-discovery</t>
        </is>
      </c>
      <c r="K219" s="15" t="inlineStr">
        <is>
          <t>project_management</t>
        </is>
      </c>
    </row>
    <row r="220" ht="18" customHeight="1" s="12">
      <c r="A220" s="15" t="inlineStr"/>
      <c r="B220" s="15" t="inlineStr">
        <is>
          <t>Origination Pipeline</t>
        </is>
      </c>
      <c r="C220" s="15" t="inlineStr">
        <is>
          <t>Management</t>
        </is>
      </c>
      <c r="D220" s="16">
        <f>HYPERLINK('Link Config'!$B$2&amp;"plugins/vc/tasks/companies-house-discovery.md","Explore Companies House Public Register Scope")</f>
        <v/>
      </c>
      <c r="E220" s="15" t="inlineStr">
        <is>
          <t>Discover public Companies House search URLs, result limits, and page-preview scope before selected VC origination reads.</t>
        </is>
      </c>
      <c r="F220" s="16">
        <f>HYPERLINK('Link Config'!$B$2&amp;"plugins/vc/agents/vc-integration-operator.md","Integration Operator")</f>
        <v/>
      </c>
      <c r="G220" s="16">
        <f>HYPERLINK('Link Config'!$B$2&amp;"plugins/vc/skills/citation-enforcement/SKILL.md","citation-enforcement")</f>
        <v/>
      </c>
      <c r="H220" s="15" t="inlineStr"/>
      <c r="I220" s="15" t="inlineStr">
        <is>
          <t>None declared</t>
        </is>
      </c>
      <c r="J220" s="15" t="inlineStr">
        <is>
          <t>companies-house-discovery</t>
        </is>
      </c>
      <c r="K220" s="15" t="inlineStr">
        <is>
          <t>project_management</t>
        </is>
      </c>
    </row>
    <row r="221" ht="135" customHeight="1" s="12">
      <c r="A221" s="15" t="inlineStr"/>
      <c r="B221" s="15" t="inlineStr">
        <is>
          <t>Origination Pipeline</t>
        </is>
      </c>
      <c r="C221" s="15" t="inlineStr">
        <is>
          <t>Management</t>
        </is>
      </c>
      <c r="D221" s="16">
        <f>HYPERLINK('Link Config'!$B$2&amp;"plugins/vc/tasks/prepare-lead-gen-packet.md","Prepare Lead Gen Packet")</f>
        <v/>
      </c>
      <c r="E221" s="15" t="inlineStr">
        <is>
          <t>Prepare Lead Gen Packet for one venture-capital opportunity with evidence capture, human review gates, and next-action recommendations.</t>
        </is>
      </c>
      <c r="F221" s="16">
        <f>HYPERLINK('Link Config'!$B$2&amp;"plugins/vc/agents/vc-origination-scout.md","Origination Scout")</f>
        <v/>
      </c>
      <c r="G221" s="16">
        <f>HYPERLINK('Link Config'!$B$2&amp;"plugins/vc/skills/company-research-and-enrichment/SKILL.md","company-research-and-enrichment")</f>
        <v/>
      </c>
      <c r="H221" s="16">
        <f>HYPERLINK('Link Config'!$B$2&amp;"plugins/vc/alludium/documents/deal-room/lead-generation-packet-template.md","Lead Generation Packet Template (output_template, to lead_generation_packet_artifact_id)")</f>
        <v/>
      </c>
      <c r="I221" s="15" t="inlineStr">
        <is>
          <t>alludium-platform
harmonic-mcp-oauth
affinity-mcp-server
exa-mcp-hosted
brave-search-mcp
serpapi-mcp
firecrawl-mcp-hosted
dealroom-mcp
linkedin</t>
        </is>
      </c>
      <c r="J221" s="15" t="inlineStr">
        <is>
          <t>prepare-lead-gen-packet</t>
        </is>
      </c>
      <c r="K221" s="15" t="inlineStr">
        <is>
          <t>project_management</t>
        </is>
      </c>
    </row>
    <row r="222" ht="135" customHeight="1" s="12">
      <c r="A222" s="15" t="inlineStr"/>
      <c r="B222" s="15" t="inlineStr">
        <is>
          <t>Origination Pipeline</t>
        </is>
      </c>
      <c r="C222" s="15" t="inlineStr">
        <is>
          <t>Management</t>
        </is>
      </c>
      <c r="D222" s="16">
        <f>HYPERLINK('Link Config'!$B$2&amp;"plugins/vc/tasks/prepare-lead-gen-packet.md","Prepare Lead Gen Packet")</f>
        <v/>
      </c>
      <c r="E222" s="15" t="inlineStr">
        <is>
          <t>Prepare Lead Gen Packet for one venture-capital opportunity with evidence capture, human review gates, and next-action recommendations.</t>
        </is>
      </c>
      <c r="F222" s="16">
        <f>HYPERLINK('Link Config'!$B$2&amp;"plugins/vc/agents/vc-origination-scout.md","Origination Scout")</f>
        <v/>
      </c>
      <c r="G222" s="16">
        <f>HYPERLINK('Link Config'!$B$2&amp;"plugins/vc/skills/citation-enforcement/SKILL.md","citation-enforcement")</f>
        <v/>
      </c>
      <c r="H222" s="16">
        <f>HYPERLINK('Link Config'!$B$2&amp;"plugins/vc/alludium/documents/origination/origination-source-strategy-guide.md","Origination Source Strategy Guide (methodology)")</f>
        <v/>
      </c>
      <c r="I222" s="15" t="inlineStr">
        <is>
          <t>alludium-platform
harmonic-mcp-oauth
affinity-mcp-server
exa-mcp-hosted
brave-search-mcp
serpapi-mcp
firecrawl-mcp-hosted
dealroom-mcp
linkedin</t>
        </is>
      </c>
      <c r="J222" s="15" t="inlineStr">
        <is>
          <t>prepare-lead-gen-packet</t>
        </is>
      </c>
      <c r="K222" s="15" t="inlineStr">
        <is>
          <t>project_management</t>
        </is>
      </c>
    </row>
    <row r="223" ht="135" customHeight="1" s="12">
      <c r="A223" s="15" t="inlineStr"/>
      <c r="B223" s="15" t="inlineStr">
        <is>
          <t>Origination Pipeline</t>
        </is>
      </c>
      <c r="C223" s="15" t="inlineStr">
        <is>
          <t>Management</t>
        </is>
      </c>
      <c r="D223" s="16">
        <f>HYPERLINK('Link Config'!$B$2&amp;"plugins/vc/tasks/prepare-lead-gen-packet.md","Prepare Lead Gen Packet")</f>
        <v/>
      </c>
      <c r="E223" s="15" t="inlineStr">
        <is>
          <t>Prepare Lead Gen Packet for one venture-capital opportunity with evidence capture, human review gates, and next-action recommendations.</t>
        </is>
      </c>
      <c r="F223" s="16">
        <f>HYPERLINK('Link Config'!$B$2&amp;"plugins/vc/agents/vc-origination-scout.md","Origination Scout")</f>
        <v/>
      </c>
      <c r="G223" s="15" t="inlineStr"/>
      <c r="H223" s="16">
        <f>HYPERLINK('Link Config'!$B$2&amp;"plugins/vc/alludium/documents/shared/evidence-citation-style-guide.md","Evidence And Citation Style Guide (style_guide)")</f>
        <v/>
      </c>
      <c r="I223" s="15" t="inlineStr">
        <is>
          <t>alludium-platform
harmonic-mcp-oauth
affinity-mcp-server
exa-mcp-hosted
brave-search-mcp
serpapi-mcp
firecrawl-mcp-hosted
dealroom-mcp
linkedin</t>
        </is>
      </c>
      <c r="J223" s="15" t="inlineStr">
        <is>
          <t>prepare-lead-gen-packet</t>
        </is>
      </c>
      <c r="K223" s="15" t="inlineStr">
        <is>
          <t>project_management</t>
        </is>
      </c>
    </row>
    <row r="224" ht="135" customHeight="1" s="12">
      <c r="A224" s="15" t="inlineStr"/>
      <c r="B224" s="15" t="inlineStr">
        <is>
          <t>Origination Pipeline</t>
        </is>
      </c>
      <c r="C224" s="15" t="inlineStr">
        <is>
          <t>Management</t>
        </is>
      </c>
      <c r="D224" s="16">
        <f>HYPERLINK('Link Config'!$B$2&amp;"plugins/vc/tasks/prepare-lead-gen-packet.md","Prepare Lead Gen Packet")</f>
        <v/>
      </c>
      <c r="E224" s="15" t="inlineStr">
        <is>
          <t>Prepare Lead Gen Packet for one venture-capital opportunity with evidence capture, human review gates, and next-action recommendations.</t>
        </is>
      </c>
      <c r="F224" s="16">
        <f>HYPERLINK('Link Config'!$B$2&amp;"plugins/vc/agents/vc-origination-scout.md","Origination Scout")</f>
        <v/>
      </c>
      <c r="G224" s="15" t="inlineStr"/>
      <c r="H224" s="16">
        <f>HYPERLINK('Link Config'!$B$2&amp;"plugins/vc/alludium/documents/shared/template-use-guidance.md","Template Use Guidance (operating_guidance)")</f>
        <v/>
      </c>
      <c r="I224" s="15" t="inlineStr">
        <is>
          <t>alludium-platform
harmonic-mcp-oauth
affinity-mcp-server
exa-mcp-hosted
brave-search-mcp
serpapi-mcp
firecrawl-mcp-hosted
dealroom-mcp
linkedin</t>
        </is>
      </c>
      <c r="J224" s="15" t="inlineStr">
        <is>
          <t>prepare-lead-gen-packet</t>
        </is>
      </c>
      <c r="K224" s="15" t="inlineStr">
        <is>
          <t>project_management</t>
        </is>
      </c>
    </row>
    <row r="225" ht="18" customHeight="1" s="12">
      <c r="A225" s="15" t="inlineStr"/>
      <c r="B225" s="15" t="inlineStr">
        <is>
          <t>Origination Pipeline</t>
        </is>
      </c>
      <c r="C225" s="15" t="inlineStr">
        <is>
          <t>Management</t>
        </is>
      </c>
      <c r="D225" s="16">
        <f>HYPERLINK('Link Config'!$B$2&amp;"plugins/vc/tasks/apify-sync-read.md","Preview Apify Origination Results")</f>
        <v/>
      </c>
      <c r="E225" s="15" t="inlineStr">
        <is>
          <t>Preview selected Apify actor results before using them as VC origination source context.</t>
        </is>
      </c>
      <c r="F225" s="16">
        <f>HYPERLINK('Link Config'!$B$2&amp;"plugins/vc/agents/vc-integration-operator.md","Integration Operator")</f>
        <v/>
      </c>
      <c r="G225" s="16">
        <f>HYPERLINK('Link Config'!$B$2&amp;"plugins/vc/skills/vc-apify-sync-read/SKILL.md","vc-apify-sync-read")</f>
        <v/>
      </c>
      <c r="H225" s="15" t="inlineStr">
        <is>
          <t>None declared</t>
        </is>
      </c>
      <c r="I225" s="15" t="inlineStr">
        <is>
          <t>None declared</t>
        </is>
      </c>
      <c r="J225" s="15" t="inlineStr">
        <is>
          <t>apify-sync-read</t>
        </is>
      </c>
      <c r="K225" s="15" t="inlineStr">
        <is>
          <t>project_management</t>
        </is>
      </c>
    </row>
    <row r="226" ht="18" customHeight="1" s="12">
      <c r="A226" s="15" t="inlineStr"/>
      <c r="B226" s="15" t="inlineStr">
        <is>
          <t>Origination Pipeline</t>
        </is>
      </c>
      <c r="C226" s="15" t="inlineStr">
        <is>
          <t>Management</t>
        </is>
      </c>
      <c r="D226" s="16">
        <f>HYPERLINK('Link Config'!$B$2&amp;"plugins/vc/tasks/apify-sync-read.md","Preview Apify Origination Results")</f>
        <v/>
      </c>
      <c r="E226" s="15" t="inlineStr">
        <is>
          <t>Preview selected Apify actor results before using them as VC origination source context.</t>
        </is>
      </c>
      <c r="F226" s="16">
        <f>HYPERLINK('Link Config'!$B$2&amp;"plugins/vc/agents/vc-integration-operator.md","Integration Operator")</f>
        <v/>
      </c>
      <c r="G226" s="16">
        <f>HYPERLINK('Link Config'!$B$2&amp;"plugins/vc/skills/citation-enforcement/SKILL.md","citation-enforcement")</f>
        <v/>
      </c>
      <c r="H226" s="15" t="inlineStr"/>
      <c r="I226" s="15" t="inlineStr">
        <is>
          <t>None declared</t>
        </is>
      </c>
      <c r="J226" s="15" t="inlineStr">
        <is>
          <t>apify-sync-read</t>
        </is>
      </c>
      <c r="K226" s="15" t="inlineStr">
        <is>
          <t>project_management</t>
        </is>
      </c>
    </row>
    <row r="227" ht="18" customHeight="1" s="12">
      <c r="A227" s="15" t="inlineStr"/>
      <c r="B227" s="15" t="inlineStr">
        <is>
          <t>Origination Pipeline</t>
        </is>
      </c>
      <c r="C227" s="15" t="inlineStr">
        <is>
          <t>Management</t>
        </is>
      </c>
      <c r="D227" s="16">
        <f>HYPERLINK('Link Config'!$B$2&amp;"plugins/vc/tasks/companies-house-sync-read.md","Preview Companies House Public Register Results")</f>
        <v/>
      </c>
      <c r="E227" s="15" t="inlineStr">
        <is>
          <t>Preview selected Companies House public search results and company profile pages before using them as VC origination source context.</t>
        </is>
      </c>
      <c r="F227" s="16">
        <f>HYPERLINK('Link Config'!$B$2&amp;"plugins/vc/agents/vc-integration-operator.md","Integration Operator")</f>
        <v/>
      </c>
      <c r="G227" s="16">
        <f>HYPERLINK('Link Config'!$B$2&amp;"plugins/vc/skills/vc-companies-house-sync-read/SKILL.md","vc-companies-house-sync-read")</f>
        <v/>
      </c>
      <c r="H227" s="15" t="inlineStr">
        <is>
          <t>None declared</t>
        </is>
      </c>
      <c r="I227" s="15" t="inlineStr">
        <is>
          <t>None declared</t>
        </is>
      </c>
      <c r="J227" s="15" t="inlineStr">
        <is>
          <t>companies-house-sync-read</t>
        </is>
      </c>
      <c r="K227" s="15" t="inlineStr">
        <is>
          <t>project_management</t>
        </is>
      </c>
    </row>
    <row r="228" ht="18" customHeight="1" s="12">
      <c r="A228" s="15" t="inlineStr"/>
      <c r="B228" s="15" t="inlineStr">
        <is>
          <t>Origination Pipeline</t>
        </is>
      </c>
      <c r="C228" s="15" t="inlineStr">
        <is>
          <t>Management</t>
        </is>
      </c>
      <c r="D228" s="16">
        <f>HYPERLINK('Link Config'!$B$2&amp;"plugins/vc/tasks/companies-house-sync-read.md","Preview Companies House Public Register Results")</f>
        <v/>
      </c>
      <c r="E228" s="15" t="inlineStr">
        <is>
          <t>Preview selected Companies House public search results and company profile pages before using them as VC origination source context.</t>
        </is>
      </c>
      <c r="F228" s="16">
        <f>HYPERLINK('Link Config'!$B$2&amp;"plugins/vc/agents/vc-integration-operator.md","Integration Operator")</f>
        <v/>
      </c>
      <c r="G228" s="16">
        <f>HYPERLINK('Link Config'!$B$2&amp;"plugins/vc/skills/citation-enforcement/SKILL.md","citation-enforcement")</f>
        <v/>
      </c>
      <c r="H228" s="15" t="inlineStr"/>
      <c r="I228" s="15" t="inlineStr">
        <is>
          <t>None declared</t>
        </is>
      </c>
      <c r="J228" s="15" t="inlineStr">
        <is>
          <t>companies-house-sync-read</t>
        </is>
      </c>
      <c r="K228" s="15" t="inlineStr">
        <is>
          <t>project_management</t>
        </is>
      </c>
    </row>
    <row r="229" ht="18" customHeight="1" s="12">
      <c r="A229" s="15" t="inlineStr"/>
      <c r="B229" s="15" t="inlineStr">
        <is>
          <t>Origination Pipeline</t>
        </is>
      </c>
      <c r="C229" s="15" t="inlineStr">
        <is>
          <t>Draft</t>
        </is>
      </c>
      <c r="D229" s="16">
        <f>HYPERLINK('Link Config'!$B$2&amp;"plugins/vc/tasks/configure-origination-pipeline.md","Configure Origination Pipeline")</f>
        <v/>
      </c>
      <c r="E229" s="15" t="inlineStr">
        <is>
          <t>Capture thesis, source selection, cadence intent, budget policy, review thresholds, and integration-readiness requirements for a VC origination pipeline.</t>
        </is>
      </c>
      <c r="F229" s="16">
        <f>HYPERLINK('Link Config'!$B$2&amp;"plugins/vc/agents/vc-sourcing-operator.md","Sourcing Operator")</f>
        <v/>
      </c>
      <c r="G229" s="16">
        <f>HYPERLINK('Link Config'!$B$2&amp;"plugins/vc/skills/vc-origination-pipeline-orchestration/SKILL.md","vc-origination-pipeline-orchestration")</f>
        <v/>
      </c>
      <c r="H229" s="16">
        <f>HYPERLINK('Link Config'!$B$2&amp;"plugins/vc/alludium/documents/origination/origination-pipeline-sop.md","Origination Pipeline Operating SOP (operating_guidance)")</f>
        <v/>
      </c>
      <c r="I229" s="15" t="inlineStr">
        <is>
          <t>None declared</t>
        </is>
      </c>
      <c r="J229" s="15" t="inlineStr">
        <is>
          <t>configure-origination-pipeline</t>
        </is>
      </c>
      <c r="K229" s="15" t="inlineStr">
        <is>
          <t>project_instance</t>
        </is>
      </c>
    </row>
    <row r="230" ht="18" customHeight="1" s="12">
      <c r="A230" s="15" t="inlineStr"/>
      <c r="B230" s="15" t="inlineStr">
        <is>
          <t>Origination Pipeline</t>
        </is>
      </c>
      <c r="C230" s="15" t="inlineStr">
        <is>
          <t>Draft</t>
        </is>
      </c>
      <c r="D230" s="16">
        <f>HYPERLINK('Link Config'!$B$2&amp;"plugins/vc/tasks/configure-origination-pipeline.md","Configure Origination Pipeline")</f>
        <v/>
      </c>
      <c r="E230" s="15" t="inlineStr">
        <is>
          <t>Capture thesis, source selection, cadence intent, budget policy, review thresholds, and integration-readiness requirements for a VC origination pipeline.</t>
        </is>
      </c>
      <c r="F230" s="16">
        <f>HYPERLINK('Link Config'!$B$2&amp;"plugins/vc/agents/vc-sourcing-operator.md","Sourcing Operator")</f>
        <v/>
      </c>
      <c r="G230" s="16">
        <f>HYPERLINK('Link Config'!$B$2&amp;"plugins/vc/skills/citation-enforcement/SKILL.md","citation-enforcement")</f>
        <v/>
      </c>
      <c r="H230" s="16">
        <f>HYPERLINK('Link Config'!$B$2&amp;"plugins/vc/alludium/documents/origination/origination-source-strategy-guide.md","Origination Source Strategy Guide (methodology)")</f>
        <v/>
      </c>
      <c r="I230" s="15" t="inlineStr">
        <is>
          <t>None declared</t>
        </is>
      </c>
      <c r="J230" s="15" t="inlineStr">
        <is>
          <t>configure-origination-pipeline</t>
        </is>
      </c>
      <c r="K230" s="15" t="inlineStr">
        <is>
          <t>project_instance</t>
        </is>
      </c>
    </row>
    <row r="231" ht="18" customHeight="1" s="12">
      <c r="A231" s="15" t="inlineStr"/>
      <c r="B231" s="15" t="inlineStr">
        <is>
          <t>Origination Pipeline</t>
        </is>
      </c>
      <c r="C231" s="15" t="inlineStr">
        <is>
          <t>Draft</t>
        </is>
      </c>
      <c r="D231" s="16">
        <f>HYPERLINK('Link Config'!$B$2&amp;"plugins/vc/tasks/configure-origination-pipeline.md","Configure Origination Pipeline")</f>
        <v/>
      </c>
      <c r="E231" s="15" t="inlineStr">
        <is>
          <t>Capture thesis, source selection, cadence intent, budget policy, review thresholds, and integration-readiness requirements for a VC origination pipeline.</t>
        </is>
      </c>
      <c r="F231" s="16">
        <f>HYPERLINK('Link Config'!$B$2&amp;"plugins/vc/agents/vc-sourcing-operator.md","Sourcing Operator")</f>
        <v/>
      </c>
      <c r="G231" s="15" t="inlineStr"/>
      <c r="H231" s="16">
        <f>HYPERLINK('Link Config'!$B$2&amp;"plugins/vc/alludium/documents/origination/source-registry-template.md","Source Registry Template (operating_guidance)")</f>
        <v/>
      </c>
      <c r="I231" s="15" t="inlineStr">
        <is>
          <t>None declared</t>
        </is>
      </c>
      <c r="J231" s="15" t="inlineStr">
        <is>
          <t>configure-origination-pipeline</t>
        </is>
      </c>
      <c r="K231" s="15" t="inlineStr">
        <is>
          <t>project_instance</t>
        </is>
      </c>
    </row>
    <row r="232" ht="18" customHeight="1" s="12">
      <c r="A232" s="15" t="inlineStr"/>
      <c r="B232" s="15" t="inlineStr">
        <is>
          <t>Origination Pipeline</t>
        </is>
      </c>
      <c r="C232" s="15" t="inlineStr">
        <is>
          <t>Draft</t>
        </is>
      </c>
      <c r="D232" s="16">
        <f>HYPERLINK('Link Config'!$B$2&amp;"plugins/vc/tasks/configure-origination-pipeline.md","Configure Origination Pipeline")</f>
        <v/>
      </c>
      <c r="E232" s="15" t="inlineStr">
        <is>
          <t>Capture thesis, source selection, cadence intent, budget policy, review thresholds, and integration-readiness requirements for a VC origination pipeline.</t>
        </is>
      </c>
      <c r="F232" s="16">
        <f>HYPERLINK('Link Config'!$B$2&amp;"plugins/vc/agents/vc-sourcing-operator.md","Sourcing Operator")</f>
        <v/>
      </c>
      <c r="G232" s="15" t="inlineStr"/>
      <c r="H232" s="16">
        <f>HYPERLINK('Link Config'!$B$2&amp;"plugins/vc/alludium/documents/shared/template-use-guidance.md","Template Use Guidance (operating_guidance)")</f>
        <v/>
      </c>
      <c r="I232" s="15" t="inlineStr">
        <is>
          <t>None declared</t>
        </is>
      </c>
      <c r="J232" s="15" t="inlineStr">
        <is>
          <t>configure-origination-pipeline</t>
        </is>
      </c>
      <c r="K232" s="15" t="inlineStr">
        <is>
          <t>project_instance</t>
        </is>
      </c>
    </row>
    <row r="233" ht="18" customHeight="1" s="12">
      <c r="A233" s="15" t="inlineStr">
        <is>
          <t>Jay</t>
        </is>
      </c>
      <c r="B233" s="15" t="inlineStr">
        <is>
          <t>Origination Pipeline</t>
        </is>
      </c>
      <c r="C233" s="15" t="inlineStr">
        <is>
          <t>Active</t>
        </is>
      </c>
      <c r="D233" s="16">
        <f>HYPERLINK('Link Config'!$B$2&amp;"plugins/vc/tasks/ingest-manual-sourcing-tip.md","Ingest Manual Sourcing Tip")</f>
        <v/>
      </c>
      <c r="E233" s="15" t="inlineStr">
        <is>
          <t>Normalize a manually submitted company or founder lead into the origination candidate model.</t>
        </is>
      </c>
      <c r="F233" s="16">
        <f>HYPERLINK('Link Config'!$B$2&amp;"plugins/vc/agents/vc-sourcing-operator.md","Sourcing Operator")</f>
        <v/>
      </c>
      <c r="G233" s="16">
        <f>HYPERLINK('Link Config'!$B$2&amp;"plugins/vc/skills/vc-manual-tip-ingestion/SKILL.md","vc-manual-tip-ingestion")</f>
        <v/>
      </c>
      <c r="H233" s="15" t="inlineStr">
        <is>
          <t>None declared</t>
        </is>
      </c>
      <c r="I233" s="15" t="inlineStr">
        <is>
          <t>None declared</t>
        </is>
      </c>
      <c r="J233" s="15" t="inlineStr">
        <is>
          <t>ingest-manual-sourcing-tip</t>
        </is>
      </c>
      <c r="K233" s="15" t="inlineStr">
        <is>
          <t>project_instance</t>
        </is>
      </c>
    </row>
    <row r="234" ht="18" customHeight="1" s="12">
      <c r="A234" s="15" t="inlineStr">
        <is>
          <t>Jay</t>
        </is>
      </c>
      <c r="B234" s="15" t="inlineStr">
        <is>
          <t>Origination Pipeline</t>
        </is>
      </c>
      <c r="C234" s="15" t="inlineStr">
        <is>
          <t>Active</t>
        </is>
      </c>
      <c r="D234" s="16">
        <f>HYPERLINK('Link Config'!$B$2&amp;"plugins/vc/tasks/ingest-manual-sourcing-tip.md","Ingest Manual Sourcing Tip")</f>
        <v/>
      </c>
      <c r="E234" s="15" t="inlineStr">
        <is>
          <t>Normalize a manually submitted company or founder lead into the origination candidate model.</t>
        </is>
      </c>
      <c r="F234" s="16">
        <f>HYPERLINK('Link Config'!$B$2&amp;"plugins/vc/agents/vc-sourcing-operator.md","Sourcing Operator")</f>
        <v/>
      </c>
      <c r="G234" s="16">
        <f>HYPERLINK('Link Config'!$B$2&amp;"plugins/vc/skills/vc-sourcing-dedupe-and-novelty-check/SKILL.md","vc-sourcing-dedupe-and-novelty-check")</f>
        <v/>
      </c>
      <c r="H234" s="15" t="inlineStr"/>
      <c r="I234" s="15" t="inlineStr">
        <is>
          <t>None declared</t>
        </is>
      </c>
      <c r="J234" s="15" t="inlineStr">
        <is>
          <t>ingest-manual-sourcing-tip</t>
        </is>
      </c>
      <c r="K234" s="15" t="inlineStr">
        <is>
          <t>project_instance</t>
        </is>
      </c>
    </row>
    <row r="235" ht="18" customHeight="1" s="12">
      <c r="A235" s="15" t="inlineStr">
        <is>
          <t>Jay</t>
        </is>
      </c>
      <c r="B235" s="15" t="inlineStr">
        <is>
          <t>Origination Pipeline</t>
        </is>
      </c>
      <c r="C235" s="15" t="inlineStr">
        <is>
          <t>Active</t>
        </is>
      </c>
      <c r="D235" s="16">
        <f>HYPERLINK('Link Config'!$B$2&amp;"plugins/vc/tasks/ingest-manual-sourcing-tip.md","Ingest Manual Sourcing Tip")</f>
        <v/>
      </c>
      <c r="E235" s="15" t="inlineStr">
        <is>
          <t>Normalize a manually submitted company or founder lead into the origination candidate model.</t>
        </is>
      </c>
      <c r="F235" s="16">
        <f>HYPERLINK('Link Config'!$B$2&amp;"plugins/vc/agents/vc-sourcing-operator.md","Sourcing Operator")</f>
        <v/>
      </c>
      <c r="G235" s="16">
        <f>HYPERLINK('Link Config'!$B$2&amp;"plugins/vc/skills/citation-enforcement/SKILL.md","citation-enforcement")</f>
        <v/>
      </c>
      <c r="H235" s="15" t="inlineStr"/>
      <c r="I235" s="15" t="inlineStr">
        <is>
          <t>None declared</t>
        </is>
      </c>
      <c r="J235" s="15" t="inlineStr">
        <is>
          <t>ingest-manual-sourcing-tip</t>
        </is>
      </c>
      <c r="K235" s="15" t="inlineStr">
        <is>
          <t>project_instance</t>
        </is>
      </c>
    </row>
    <row r="236" ht="135" customHeight="1" s="12">
      <c r="A236" s="15" t="inlineStr">
        <is>
          <t>George</t>
        </is>
      </c>
      <c r="B236" s="15" t="inlineStr">
        <is>
          <t>Origination Pipeline</t>
        </is>
      </c>
      <c r="C236" s="15" t="inlineStr">
        <is>
          <t>Active</t>
        </is>
      </c>
      <c r="D236" s="16">
        <f>HYPERLINK('Link Config'!$B$2&amp;"plugins/vc/tasks/source-thesis-targets.md","Source Thesis Targets")</f>
        <v/>
      </c>
      <c r="E236" s="15" t="inlineStr">
        <is>
          <t>Source Thesis Targets for one venture-capital opportunity with evidence capture, human review gates, and next-action recommendations.</t>
        </is>
      </c>
      <c r="F236" s="16">
        <f>HYPERLINK('Link Config'!$B$2&amp;"plugins/vc/agents/vc-origination-scout.md","Origination Scout")</f>
        <v/>
      </c>
      <c r="G236" s="16">
        <f>HYPERLINK('Link Config'!$B$2&amp;"plugins/vc/skills/company-research-and-enrichment/SKILL.md","company-research-and-enrichment")</f>
        <v/>
      </c>
      <c r="H236" s="16">
        <f>HYPERLINK('Link Config'!$B$2&amp;"plugins/vc/alludium/documents/deal-room/thesis-target-list-template.md","Thesis Target List Template (output_template, to thesis_target_list_artifact_id)")</f>
        <v/>
      </c>
      <c r="I236" s="15" t="inlineStr">
        <is>
          <t>alludium-platform
harmonic-mcp-oauth
affinity-mcp-server
exa-mcp-hosted
brave-search-mcp
serpapi-mcp
firecrawl-mcp-hosted
dealroom-mcp
linkedin</t>
        </is>
      </c>
      <c r="J236" s="15" t="inlineStr">
        <is>
          <t>source-thesis-targets</t>
        </is>
      </c>
      <c r="K236" s="15" t="inlineStr">
        <is>
          <t>project_instance</t>
        </is>
      </c>
    </row>
    <row r="237" ht="135" customHeight="1" s="12">
      <c r="A237" s="15" t="inlineStr">
        <is>
          <t>George</t>
        </is>
      </c>
      <c r="B237" s="15" t="inlineStr">
        <is>
          <t>Origination Pipeline</t>
        </is>
      </c>
      <c r="C237" s="15" t="inlineStr">
        <is>
          <t>Active</t>
        </is>
      </c>
      <c r="D237" s="16">
        <f>HYPERLINK('Link Config'!$B$2&amp;"plugins/vc/tasks/source-thesis-targets.md","Source Thesis Targets")</f>
        <v/>
      </c>
      <c r="E237" s="15" t="inlineStr">
        <is>
          <t>Source Thesis Targets for one venture-capital opportunity with evidence capture, human review gates, and next-action recommendations.</t>
        </is>
      </c>
      <c r="F237" s="16">
        <f>HYPERLINK('Link Config'!$B$2&amp;"plugins/vc/agents/vc-origination-scout.md","Origination Scout")</f>
        <v/>
      </c>
      <c r="G237" s="16">
        <f>HYPERLINK('Link Config'!$B$2&amp;"plugins/vc/skills/founder-outreach-and-intro-paths/SKILL.md","founder-outreach-and-intro-paths")</f>
        <v/>
      </c>
      <c r="H237" s="16">
        <f>HYPERLINK('Link Config'!$B$2&amp;"plugins/vc/alludium/documents/origination/origination-source-strategy-guide.md","Origination Source Strategy Guide (methodology)")</f>
        <v/>
      </c>
      <c r="I237" s="15" t="inlineStr">
        <is>
          <t>alludium-platform
harmonic-mcp-oauth
affinity-mcp-server
exa-mcp-hosted
brave-search-mcp
serpapi-mcp
firecrawl-mcp-hosted
dealroom-mcp
linkedin</t>
        </is>
      </c>
      <c r="J237" s="15" t="inlineStr">
        <is>
          <t>source-thesis-targets</t>
        </is>
      </c>
      <c r="K237" s="15" t="inlineStr">
        <is>
          <t>project_instance</t>
        </is>
      </c>
    </row>
    <row r="238" ht="135" customHeight="1" s="12">
      <c r="A238" s="15" t="inlineStr">
        <is>
          <t>George</t>
        </is>
      </c>
      <c r="B238" s="15" t="inlineStr">
        <is>
          <t>Origination Pipeline</t>
        </is>
      </c>
      <c r="C238" s="15" t="inlineStr">
        <is>
          <t>Active</t>
        </is>
      </c>
      <c r="D238" s="16">
        <f>HYPERLINK('Link Config'!$B$2&amp;"plugins/vc/tasks/source-thesis-targets.md","Source Thesis Targets")</f>
        <v/>
      </c>
      <c r="E238" s="15" t="inlineStr">
        <is>
          <t>Source Thesis Targets for one venture-capital opportunity with evidence capture, human review gates, and next-action recommendations.</t>
        </is>
      </c>
      <c r="F238" s="16">
        <f>HYPERLINK('Link Config'!$B$2&amp;"plugins/vc/agents/vc-origination-scout.md","Origination Scout")</f>
        <v/>
      </c>
      <c r="G238" s="16">
        <f>HYPERLINK('Link Config'!$B$2&amp;"plugins/vc/skills/citation-enforcement/SKILL.md","citation-enforcement")</f>
        <v/>
      </c>
      <c r="H238" s="16">
        <f>HYPERLINK('Link Config'!$B$2&amp;"plugins/vc/alludium/documents/shared/evidence-citation-style-guide.md","Evidence And Citation Style Guide (style_guide)")</f>
        <v/>
      </c>
      <c r="I238" s="15" t="inlineStr">
        <is>
          <t>alludium-platform
harmonic-mcp-oauth
affinity-mcp-server
exa-mcp-hosted
brave-search-mcp
serpapi-mcp
firecrawl-mcp-hosted
dealroom-mcp
linkedin</t>
        </is>
      </c>
      <c r="J238" s="15" t="inlineStr">
        <is>
          <t>source-thesis-targets</t>
        </is>
      </c>
      <c r="K238" s="15" t="inlineStr">
        <is>
          <t>project_instance</t>
        </is>
      </c>
    </row>
    <row r="239" ht="135" customHeight="1" s="12">
      <c r="A239" s="15" t="inlineStr">
        <is>
          <t>George</t>
        </is>
      </c>
      <c r="B239" s="15" t="inlineStr">
        <is>
          <t>Origination Pipeline</t>
        </is>
      </c>
      <c r="C239" s="15" t="inlineStr">
        <is>
          <t>Active</t>
        </is>
      </c>
      <c r="D239" s="16">
        <f>HYPERLINK('Link Config'!$B$2&amp;"plugins/vc/tasks/source-thesis-targets.md","Source Thesis Targets")</f>
        <v/>
      </c>
      <c r="E239" s="15" t="inlineStr">
        <is>
          <t>Source Thesis Targets for one venture-capital opportunity with evidence capture, human review gates, and next-action recommendations.</t>
        </is>
      </c>
      <c r="F239" s="16">
        <f>HYPERLINK('Link Config'!$B$2&amp;"plugins/vc/agents/vc-origination-scout.md","Origination Scout")</f>
        <v/>
      </c>
      <c r="G239" s="15" t="inlineStr"/>
      <c r="H239" s="16">
        <f>HYPERLINK('Link Config'!$B$2&amp;"plugins/vc/alludium/documents/shared/template-use-guidance.md","Template Use Guidance (operating_guidance)")</f>
        <v/>
      </c>
      <c r="I239" s="15" t="inlineStr">
        <is>
          <t>alludium-platform
harmonic-mcp-oauth
affinity-mcp-server
exa-mcp-hosted
brave-search-mcp
serpapi-mcp
firecrawl-mcp-hosted
dealroom-mcp
linkedin</t>
        </is>
      </c>
      <c r="J239" s="15" t="inlineStr">
        <is>
          <t>source-thesis-targets</t>
        </is>
      </c>
      <c r="K239" s="15" t="inlineStr">
        <is>
          <t>project_instance</t>
        </is>
      </c>
    </row>
    <row r="240" ht="18" customHeight="1" s="12">
      <c r="A240" s="15" t="inlineStr">
        <is>
          <t>Jay</t>
        </is>
      </c>
      <c r="B240" s="15" t="inlineStr">
        <is>
          <t>Origination Pipeline</t>
        </is>
      </c>
      <c r="C240" s="15" t="inlineStr">
        <is>
          <t>Review Backlog</t>
        </is>
      </c>
      <c r="D240" s="16">
        <f>HYPERLINK('Link Config'!$B$2&amp;"plugins/vc/tasks/review-reddit-candidate-inbox.md","Review Reddit Candidate Inbox")</f>
        <v/>
      </c>
      <c r="E240" s="15" t="inlineStr">
        <is>
          <t>Review Reddit discovery inbox rows and prepare approved candidates for enrichment.</t>
        </is>
      </c>
      <c r="F240" s="16">
        <f>HYPERLINK('Link Config'!$B$2&amp;"plugins/vc/agents/vc-sourcing-operator.md","Sourcing Operator")</f>
        <v/>
      </c>
      <c r="G240" s="16">
        <f>HYPERLINK('Link Config'!$B$2&amp;"plugins/vc/skills/vc-reddit-inbox-approval/SKILL.md","vc-reddit-inbox-approval")</f>
        <v/>
      </c>
      <c r="H240" s="15" t="inlineStr">
        <is>
          <t>None declared</t>
        </is>
      </c>
      <c r="I240" s="15" t="inlineStr">
        <is>
          <t>None declared</t>
        </is>
      </c>
      <c r="J240" s="15" t="inlineStr">
        <is>
          <t>review-reddit-candidate-inbox</t>
        </is>
      </c>
      <c r="K240" s="15" t="inlineStr">
        <is>
          <t>project_instance</t>
        </is>
      </c>
    </row>
    <row r="241" ht="18" customHeight="1" s="12">
      <c r="A241" s="15" t="inlineStr">
        <is>
          <t>Jay</t>
        </is>
      </c>
      <c r="B241" s="15" t="inlineStr">
        <is>
          <t>Origination Pipeline</t>
        </is>
      </c>
      <c r="C241" s="15" t="inlineStr">
        <is>
          <t>Review Backlog</t>
        </is>
      </c>
      <c r="D241" s="16">
        <f>HYPERLINK('Link Config'!$B$2&amp;"plugins/vc/tasks/review-reddit-candidate-inbox.md","Review Reddit Candidate Inbox")</f>
        <v/>
      </c>
      <c r="E241" s="15" t="inlineStr">
        <is>
          <t>Review Reddit discovery inbox rows and prepare approved candidates for enrichment.</t>
        </is>
      </c>
      <c r="F241" s="16">
        <f>HYPERLINK('Link Config'!$B$2&amp;"plugins/vc/agents/vc-sourcing-operator.md","Sourcing Operator")</f>
        <v/>
      </c>
      <c r="G241" s="16">
        <f>HYPERLINK('Link Config'!$B$2&amp;"plugins/vc/skills/vc-sourcing-dedupe-and-novelty-check/SKILL.md","vc-sourcing-dedupe-and-novelty-check")</f>
        <v/>
      </c>
      <c r="H241" s="15" t="inlineStr"/>
      <c r="I241" s="15" t="inlineStr">
        <is>
          <t>None declared</t>
        </is>
      </c>
      <c r="J241" s="15" t="inlineStr">
        <is>
          <t>review-reddit-candidate-inbox</t>
        </is>
      </c>
      <c r="K241" s="15" t="inlineStr">
        <is>
          <t>project_instance</t>
        </is>
      </c>
    </row>
    <row r="242" ht="18" customHeight="1" s="12">
      <c r="A242" s="15" t="inlineStr">
        <is>
          <t>Jay</t>
        </is>
      </c>
      <c r="B242" s="15" t="inlineStr">
        <is>
          <t>Origination Pipeline</t>
        </is>
      </c>
      <c r="C242" s="15" t="inlineStr">
        <is>
          <t>Review Backlog</t>
        </is>
      </c>
      <c r="D242" s="16">
        <f>HYPERLINK('Link Config'!$B$2&amp;"plugins/vc/tasks/review-reddit-candidate-inbox.md","Review Reddit Candidate Inbox")</f>
        <v/>
      </c>
      <c r="E242" s="15" t="inlineStr">
        <is>
          <t>Review Reddit discovery inbox rows and prepare approved candidates for enrichment.</t>
        </is>
      </c>
      <c r="F242" s="16">
        <f>HYPERLINK('Link Config'!$B$2&amp;"plugins/vc/agents/vc-sourcing-operator.md","Sourcing Operator")</f>
        <v/>
      </c>
      <c r="G242" s="16">
        <f>HYPERLINK('Link Config'!$B$2&amp;"plugins/vc/skills/citation-enforcement/SKILL.md","citation-enforcement")</f>
        <v/>
      </c>
      <c r="H242" s="15" t="inlineStr"/>
      <c r="I242" s="15" t="inlineStr">
        <is>
          <t>None declared</t>
        </is>
      </c>
      <c r="J242" s="15" t="inlineStr">
        <is>
          <t>review-reddit-candidate-inbox</t>
        </is>
      </c>
      <c r="K242" s="15" t="inlineStr">
        <is>
          <t>project_instance</t>
        </is>
      </c>
    </row>
    <row r="243" ht="18" customHeight="1" s="12">
      <c r="A243" s="15" t="inlineStr">
        <is>
          <t>Jay</t>
        </is>
      </c>
      <c r="B243" s="15" t="inlineStr">
        <is>
          <t>Origination Pipeline</t>
        </is>
      </c>
      <c r="C243" s="15" t="inlineStr">
        <is>
          <t>Review Backlog</t>
        </is>
      </c>
      <c r="D243" s="16">
        <f>HYPERLINK('Link Config'!$B$2&amp;"plugins/vc/tasks/enrich-sourcing-candidates.md","Enrich Sourcing Candidates")</f>
        <v/>
      </c>
      <c r="E243" s="15" t="inlineStr">
        <is>
          <t>Normalize and enrich candidate records with web, LinkedIn, founder, website, and evidence context before scoring.</t>
        </is>
      </c>
      <c r="F243" s="16">
        <f>HYPERLINK('Link Config'!$B$2&amp;"plugins/vc/agents/vc-sourcing-operator.md","Sourcing Operator")</f>
        <v/>
      </c>
      <c r="G243" s="16">
        <f>HYPERLINK('Link Config'!$B$2&amp;"plugins/vc/skills/vc-sourcing-candidate-enrichment/SKILL.md","vc-sourcing-candidate-enrichment")</f>
        <v/>
      </c>
      <c r="H243" s="15" t="inlineStr">
        <is>
          <t>None declared</t>
        </is>
      </c>
      <c r="I243" s="15" t="inlineStr">
        <is>
          <t>None declared</t>
        </is>
      </c>
      <c r="J243" s="15" t="inlineStr">
        <is>
          <t>enrich-sourcing-candidates</t>
        </is>
      </c>
      <c r="K243" s="15" t="inlineStr">
        <is>
          <t>project_instance</t>
        </is>
      </c>
    </row>
    <row r="244" ht="18" customHeight="1" s="12">
      <c r="A244" s="15" t="inlineStr">
        <is>
          <t>Jay</t>
        </is>
      </c>
      <c r="B244" s="15" t="inlineStr">
        <is>
          <t>Origination Pipeline</t>
        </is>
      </c>
      <c r="C244" s="15" t="inlineStr">
        <is>
          <t>Review Backlog</t>
        </is>
      </c>
      <c r="D244" s="16">
        <f>HYPERLINK('Link Config'!$B$2&amp;"plugins/vc/tasks/enrich-sourcing-candidates.md","Enrich Sourcing Candidates")</f>
        <v/>
      </c>
      <c r="E244" s="15" t="inlineStr">
        <is>
          <t>Normalize and enrich candidate records with web, LinkedIn, founder, website, and evidence context before scoring.</t>
        </is>
      </c>
      <c r="F244" s="16">
        <f>HYPERLINK('Link Config'!$B$2&amp;"plugins/vc/agents/vc-sourcing-operator.md","Sourcing Operator")</f>
        <v/>
      </c>
      <c r="G244" s="16">
        <f>HYPERLINK('Link Config'!$B$2&amp;"plugins/vc/skills/vc-sourcing-dedupe-and-novelty-check/SKILL.md","vc-sourcing-dedupe-and-novelty-check")</f>
        <v/>
      </c>
      <c r="H244" s="15" t="inlineStr"/>
      <c r="I244" s="15" t="inlineStr">
        <is>
          <t>None declared</t>
        </is>
      </c>
      <c r="J244" s="15" t="inlineStr">
        <is>
          <t>enrich-sourcing-candidates</t>
        </is>
      </c>
      <c r="K244" s="15" t="inlineStr">
        <is>
          <t>project_instance</t>
        </is>
      </c>
    </row>
    <row r="245" ht="18" customHeight="1" s="12">
      <c r="A245" s="15" t="inlineStr">
        <is>
          <t>Jay</t>
        </is>
      </c>
      <c r="B245" s="15" t="inlineStr">
        <is>
          <t>Origination Pipeline</t>
        </is>
      </c>
      <c r="C245" s="15" t="inlineStr">
        <is>
          <t>Review Backlog</t>
        </is>
      </c>
      <c r="D245" s="16">
        <f>HYPERLINK('Link Config'!$B$2&amp;"plugins/vc/tasks/enrich-sourcing-candidates.md","Enrich Sourcing Candidates")</f>
        <v/>
      </c>
      <c r="E245" s="15" t="inlineStr">
        <is>
          <t>Normalize and enrich candidate records with web, LinkedIn, founder, website, and evidence context before scoring.</t>
        </is>
      </c>
      <c r="F245" s="16">
        <f>HYPERLINK('Link Config'!$B$2&amp;"plugins/vc/agents/vc-sourcing-operator.md","Sourcing Operator")</f>
        <v/>
      </c>
      <c r="G245" s="16">
        <f>HYPERLINK('Link Config'!$B$2&amp;"plugins/vc/skills/citation-enforcement/SKILL.md","citation-enforcement")</f>
        <v/>
      </c>
      <c r="H245" s="15" t="inlineStr"/>
      <c r="I245" s="15" t="inlineStr">
        <is>
          <t>None declared</t>
        </is>
      </c>
      <c r="J245" s="15" t="inlineStr">
        <is>
          <t>enrich-sourcing-candidates</t>
        </is>
      </c>
      <c r="K245" s="15" t="inlineStr">
        <is>
          <t>project_instance</t>
        </is>
      </c>
    </row>
    <row r="246" ht="18" customHeight="1" s="12">
      <c r="A246" s="15" t="inlineStr">
        <is>
          <t>Jay</t>
        </is>
      </c>
      <c r="B246" s="15" t="inlineStr">
        <is>
          <t>Origination Pipeline</t>
        </is>
      </c>
      <c r="C246" s="15" t="inlineStr">
        <is>
          <t>Review Backlog</t>
        </is>
      </c>
      <c r="D246" s="16">
        <f>HYPERLINK('Link Config'!$B$2&amp;"plugins/vc/tasks/check-affinity-relationships.md","Check Affinity Relationship Context")</f>
        <v/>
      </c>
      <c r="E246" s="15" t="inlineStr">
        <is>
          <t>Check whether sourcing candidates are already known in Affinity and capture relationship context without changing CRM records.</t>
        </is>
      </c>
      <c r="F246" s="16">
        <f>HYPERLINK('Link Config'!$B$2&amp;"plugins/vc/agents/vc-sourcing-operator.md","Sourcing Operator")</f>
        <v/>
      </c>
      <c r="G246" s="16">
        <f>HYPERLINK('Link Config'!$B$2&amp;"plugins/vc/skills/vc-relationship-context-check/SKILL.md","vc-relationship-context-check")</f>
        <v/>
      </c>
      <c r="H246" s="15" t="inlineStr">
        <is>
          <t>None declared</t>
        </is>
      </c>
      <c r="I246" s="15" t="inlineStr">
        <is>
          <t>None declared</t>
        </is>
      </c>
      <c r="J246" s="15" t="inlineStr">
        <is>
          <t>check-affinity-relationships</t>
        </is>
      </c>
      <c r="K246" s="15" t="inlineStr">
        <is>
          <t>project_instance</t>
        </is>
      </c>
    </row>
    <row r="247" ht="18" customHeight="1" s="12">
      <c r="A247" s="15" t="inlineStr">
        <is>
          <t>Jay</t>
        </is>
      </c>
      <c r="B247" s="15" t="inlineStr">
        <is>
          <t>Origination Pipeline</t>
        </is>
      </c>
      <c r="C247" s="15" t="inlineStr">
        <is>
          <t>Review Backlog</t>
        </is>
      </c>
      <c r="D247" s="16">
        <f>HYPERLINK('Link Config'!$B$2&amp;"plugins/vc/tasks/check-affinity-relationships.md","Check Affinity Relationship Context")</f>
        <v/>
      </c>
      <c r="E247" s="15" t="inlineStr">
        <is>
          <t>Check whether sourcing candidates are already known in Affinity and capture relationship context without changing CRM records.</t>
        </is>
      </c>
      <c r="F247" s="16">
        <f>HYPERLINK('Link Config'!$B$2&amp;"plugins/vc/agents/vc-sourcing-operator.md","Sourcing Operator")</f>
        <v/>
      </c>
      <c r="G247" s="16">
        <f>HYPERLINK('Link Config'!$B$2&amp;"plugins/vc/skills/citation-enforcement/SKILL.md","citation-enforcement")</f>
        <v/>
      </c>
      <c r="H247" s="15" t="inlineStr"/>
      <c r="I247" s="15" t="inlineStr">
        <is>
          <t>None declared</t>
        </is>
      </c>
      <c r="J247" s="15" t="inlineStr">
        <is>
          <t>check-affinity-relationships</t>
        </is>
      </c>
      <c r="K247" s="15" t="inlineStr">
        <is>
          <t>project_instance</t>
        </is>
      </c>
    </row>
    <row r="248" ht="18" customHeight="1" s="12">
      <c r="A248" s="15" t="inlineStr">
        <is>
          <t>Jay</t>
        </is>
      </c>
      <c r="B248" s="15" t="inlineStr">
        <is>
          <t>Origination Pipeline</t>
        </is>
      </c>
      <c r="C248" s="15" t="inlineStr">
        <is>
          <t>Review Backlog</t>
        </is>
      </c>
      <c r="D248" s="16">
        <f>HYPERLINK('Link Config'!$B$2&amp;"plugins/vc/tasks/score-sourcing-candidates.md","Score Sourcing Candidates")</f>
        <v/>
      </c>
      <c r="E248" s="15" t="inlineStr">
        <is>
          <t>Produce Meet/Watch/Pass verdicts and urgency scores for enriched origination candidates.</t>
        </is>
      </c>
      <c r="F248" s="16">
        <f>HYPERLINK('Link Config'!$B$2&amp;"plugins/vc/agents/vc-sourcing-operator.md","Sourcing Operator")</f>
        <v/>
      </c>
      <c r="G248" s="16">
        <f>HYPERLINK('Link Config'!$B$2&amp;"plugins/vc/skills/vc-sourcing-verdict-and-screening/SKILL.md","vc-sourcing-verdict-and-screening")</f>
        <v/>
      </c>
      <c r="H248" s="16">
        <f>HYPERLINK('Link Config'!$B$2&amp;"plugins/vc/alludium/documents/origination/sourcing-scoring-rubric.md","Sourcing Scoring Rubric (methodology, to scoring_artifact_id)")</f>
        <v/>
      </c>
      <c r="I248" s="15" t="inlineStr">
        <is>
          <t>None declared</t>
        </is>
      </c>
      <c r="J248" s="15" t="inlineStr">
        <is>
          <t>score-sourcing-candidates</t>
        </is>
      </c>
      <c r="K248" s="15" t="inlineStr">
        <is>
          <t>project_instance</t>
        </is>
      </c>
    </row>
    <row r="249" ht="18" customHeight="1" s="12">
      <c r="A249" s="15" t="inlineStr">
        <is>
          <t>Jay</t>
        </is>
      </c>
      <c r="B249" s="15" t="inlineStr">
        <is>
          <t>Origination Pipeline</t>
        </is>
      </c>
      <c r="C249" s="15" t="inlineStr">
        <is>
          <t>Review Backlog</t>
        </is>
      </c>
      <c r="D249" s="16">
        <f>HYPERLINK('Link Config'!$B$2&amp;"plugins/vc/tasks/score-sourcing-candidates.md","Score Sourcing Candidates")</f>
        <v/>
      </c>
      <c r="E249" s="15" t="inlineStr">
        <is>
          <t>Produce Meet/Watch/Pass verdicts and urgency scores for enriched origination candidates.</t>
        </is>
      </c>
      <c r="F249" s="16">
        <f>HYPERLINK('Link Config'!$B$2&amp;"plugins/vc/agents/vc-sourcing-operator.md","Sourcing Operator")</f>
        <v/>
      </c>
      <c r="G249" s="16">
        <f>HYPERLINK('Link Config'!$B$2&amp;"plugins/vc/skills/vc-sourcing-dedupe-and-novelty-check/SKILL.md","vc-sourcing-dedupe-and-novelty-check")</f>
        <v/>
      </c>
      <c r="H249" s="16">
        <f>HYPERLINK('Link Config'!$B$2&amp;"plugins/vc/alludium/documents/origination/origination-source-strategy-guide.md","Origination Source Strategy Guide (methodology)")</f>
        <v/>
      </c>
      <c r="I249" s="15" t="inlineStr">
        <is>
          <t>None declared</t>
        </is>
      </c>
      <c r="J249" s="15" t="inlineStr">
        <is>
          <t>score-sourcing-candidates</t>
        </is>
      </c>
      <c r="K249" s="15" t="inlineStr">
        <is>
          <t>project_instance</t>
        </is>
      </c>
    </row>
    <row r="250" ht="18" customHeight="1" s="12">
      <c r="A250" s="15" t="inlineStr">
        <is>
          <t>Jay</t>
        </is>
      </c>
      <c r="B250" s="15" t="inlineStr">
        <is>
          <t>Origination Pipeline</t>
        </is>
      </c>
      <c r="C250" s="15" t="inlineStr">
        <is>
          <t>Review Backlog</t>
        </is>
      </c>
      <c r="D250" s="16">
        <f>HYPERLINK('Link Config'!$B$2&amp;"plugins/vc/tasks/score-sourcing-candidates.md","Score Sourcing Candidates")</f>
        <v/>
      </c>
      <c r="E250" s="15" t="inlineStr">
        <is>
          <t>Produce Meet/Watch/Pass verdicts and urgency scores for enriched origination candidates.</t>
        </is>
      </c>
      <c r="F250" s="16">
        <f>HYPERLINK('Link Config'!$B$2&amp;"plugins/vc/agents/vc-sourcing-operator.md","Sourcing Operator")</f>
        <v/>
      </c>
      <c r="G250" s="16">
        <f>HYPERLINK('Link Config'!$B$2&amp;"plugins/vc/skills/citation-enforcement/SKILL.md","citation-enforcement")</f>
        <v/>
      </c>
      <c r="H250" s="16">
        <f>HYPERLINK('Link Config'!$B$2&amp;"plugins/vc/alludium/documents/shared/template-use-guidance.md","Template Use Guidance (operating_guidance)")</f>
        <v/>
      </c>
      <c r="I250" s="15" t="inlineStr">
        <is>
          <t>None declared</t>
        </is>
      </c>
      <c r="J250" s="15" t="inlineStr">
        <is>
          <t>score-sourcing-candidates</t>
        </is>
      </c>
      <c r="K250" s="15" t="inlineStr">
        <is>
          <t>project_instance</t>
        </is>
      </c>
    </row>
    <row r="251" ht="18" customHeight="1" s="12">
      <c r="A251" s="15" t="inlineStr">
        <is>
          <t>Jay</t>
        </is>
      </c>
      <c r="B251" s="15" t="inlineStr">
        <is>
          <t>Origination Pipeline</t>
        </is>
      </c>
      <c r="C251" s="15" t="inlineStr">
        <is>
          <t>Review Backlog</t>
        </is>
      </c>
      <c r="D251" s="16">
        <f>HYPERLINK('Link Config'!$B$2&amp;"plugins/vc/tasks/sync-sourcing-candidates.md","Sync Sourcing Candidates")</f>
        <v/>
      </c>
      <c r="E251" s="15" t="inlineStr">
        <is>
          <t>Prepare or apply reviewed candidate state sync while preserving manual workflow decisions.</t>
        </is>
      </c>
      <c r="F251" s="16">
        <f>HYPERLINK('Link Config'!$B$2&amp;"plugins/vc/agents/vc-sourcing-operator.md","Sourcing Operator")</f>
        <v/>
      </c>
      <c r="G251" s="16">
        <f>HYPERLINK('Link Config'!$B$2&amp;"plugins/vc/skills/vc-source-registry-and-state-management/SKILL.md","vc-source-registry-and-state-management")</f>
        <v/>
      </c>
      <c r="H251" s="15" t="inlineStr">
        <is>
          <t>None declared</t>
        </is>
      </c>
      <c r="I251" s="15" t="inlineStr">
        <is>
          <t>None declared</t>
        </is>
      </c>
      <c r="J251" s="15" t="inlineStr">
        <is>
          <t>sync-sourcing-candidates</t>
        </is>
      </c>
      <c r="K251" s="15" t="inlineStr">
        <is>
          <t>project_instance</t>
        </is>
      </c>
    </row>
    <row r="252" ht="18" customHeight="1" s="12">
      <c r="A252" s="15" t="inlineStr">
        <is>
          <t>Jay</t>
        </is>
      </c>
      <c r="B252" s="15" t="inlineStr">
        <is>
          <t>Origination Pipeline</t>
        </is>
      </c>
      <c r="C252" s="15" t="inlineStr">
        <is>
          <t>Review Backlog</t>
        </is>
      </c>
      <c r="D252" s="16">
        <f>HYPERLINK('Link Config'!$B$2&amp;"plugins/vc/tasks/sync-sourcing-candidates.md","Sync Sourcing Candidates")</f>
        <v/>
      </c>
      <c r="E252" s="15" t="inlineStr">
        <is>
          <t>Prepare or apply reviewed candidate state sync while preserving manual workflow decisions.</t>
        </is>
      </c>
      <c r="F252" s="16">
        <f>HYPERLINK('Link Config'!$B$2&amp;"plugins/vc/agents/vc-sourcing-operator.md","Sourcing Operator")</f>
        <v/>
      </c>
      <c r="G252" s="16">
        <f>HYPERLINK('Link Config'!$B$2&amp;"plugins/vc/skills/vc-sourcing-dedupe-and-novelty-check/SKILL.md","vc-sourcing-dedupe-and-novelty-check")</f>
        <v/>
      </c>
      <c r="H252" s="15" t="inlineStr"/>
      <c r="I252" s="15" t="inlineStr">
        <is>
          <t>None declared</t>
        </is>
      </c>
      <c r="J252" s="15" t="inlineStr">
        <is>
          <t>sync-sourcing-candidates</t>
        </is>
      </c>
      <c r="K252" s="15" t="inlineStr">
        <is>
          <t>project_instance</t>
        </is>
      </c>
    </row>
    <row r="253" ht="18" customHeight="1" s="12">
      <c r="A253" s="15" t="inlineStr">
        <is>
          <t>Jay</t>
        </is>
      </c>
      <c r="B253" s="15" t="inlineStr">
        <is>
          <t>Origination Pipeline</t>
        </is>
      </c>
      <c r="C253" s="15" t="inlineStr">
        <is>
          <t>Review Backlog</t>
        </is>
      </c>
      <c r="D253" s="16">
        <f>HYPERLINK('Link Config'!$B$2&amp;"plugins/vc/tasks/sync-sourcing-candidates.md","Sync Sourcing Candidates")</f>
        <v/>
      </c>
      <c r="E253" s="15" t="inlineStr">
        <is>
          <t>Prepare or apply reviewed candidate state sync while preserving manual workflow decisions.</t>
        </is>
      </c>
      <c r="F253" s="16">
        <f>HYPERLINK('Link Config'!$B$2&amp;"plugins/vc/agents/vc-sourcing-operator.md","Sourcing Operator")</f>
        <v/>
      </c>
      <c r="G253" s="16">
        <f>HYPERLINK('Link Config'!$B$2&amp;"plugins/vc/skills/citation-enforcement/SKILL.md","citation-enforcement")</f>
        <v/>
      </c>
      <c r="H253" s="15" t="inlineStr"/>
      <c r="I253" s="15" t="inlineStr">
        <is>
          <t>None declared</t>
        </is>
      </c>
      <c r="J253" s="15" t="inlineStr">
        <is>
          <t>sync-sourcing-candidates</t>
        </is>
      </c>
      <c r="K253" s="15" t="inlineStr">
        <is>
          <t>project_instance</t>
        </is>
      </c>
    </row>
    <row r="254" ht="18" customHeight="1" s="12">
      <c r="A254" s="15" t="inlineStr">
        <is>
          <t>Jay</t>
        </is>
      </c>
      <c r="B254" s="15" t="inlineStr">
        <is>
          <t>Origination Pipeline</t>
        </is>
      </c>
      <c r="C254" s="15" t="inlineStr">
        <is>
          <t>Review Backlog</t>
        </is>
      </c>
      <c r="D254" s="16">
        <f>HYPERLINK('Link Config'!$B$2&amp;"plugins/vc/tasks/sync-sourcing-candidates.md","Sync Sourcing Candidates")</f>
        <v/>
      </c>
      <c r="E254" s="15" t="inlineStr">
        <is>
          <t>Prepare or apply reviewed candidate state sync while preserving manual workflow decisions.</t>
        </is>
      </c>
      <c r="F254" s="16">
        <f>HYPERLINK('Link Config'!$B$2&amp;"plugins/vc/agents/vc-sourcing-operator.md","Sourcing Operator")</f>
        <v/>
      </c>
      <c r="G254" s="16">
        <f>HYPERLINK('Link Config'!$B$2&amp;"plugins/vc/skills/vc-notion-sync-write/SKILL.md","vc-notion-sync-write")</f>
        <v/>
      </c>
      <c r="H254" s="15" t="inlineStr"/>
      <c r="I254" s="15" t="inlineStr">
        <is>
          <t>None declared</t>
        </is>
      </c>
      <c r="J254" s="15" t="inlineStr">
        <is>
          <t>sync-sourcing-candidates</t>
        </is>
      </c>
      <c r="K254" s="15" t="inlineStr">
        <is>
          <t>project_instance</t>
        </is>
      </c>
    </row>
    <row r="255" ht="90" customHeight="1" s="12">
      <c r="A255" s="15" t="inlineStr">
        <is>
          <t>Jay</t>
        </is>
      </c>
      <c r="B255" s="15" t="inlineStr">
        <is>
          <t>Origination Pipeline</t>
        </is>
      </c>
      <c r="C255" s="15" t="inlineStr">
        <is>
          <t>Review Backlog</t>
        </is>
      </c>
      <c r="D255" s="16">
        <f>HYPERLINK('Link Config'!$B$2&amp;"plugins/vc/tasks/prepare-sourcing-ic-summary.md","Prepare Sourcing IC Summary")</f>
        <v/>
      </c>
      <c r="E255" s="15" t="inlineStr">
        <is>
          <t>Prepare a lightweight IC-style summary for a reviewed origination candidate before Deal Pipeline promotion.</t>
        </is>
      </c>
      <c r="F255" s="16">
        <f>HYPERLINK('Link Config'!$B$2&amp;"plugins/vc/agents/vc-ic-prep-producer.md","IC Prep Producer")</f>
        <v/>
      </c>
      <c r="G255" s="16">
        <f>HYPERLINK('Link Config'!$B$2&amp;"plugins/vc/skills/vc-origination-ic-summary-preparation/SKILL.md","vc-origination-ic-summary-preparation")</f>
        <v/>
      </c>
      <c r="H255" s="16">
        <f>HYPERLINK('Link Config'!$B$2&amp;"plugins/vc/alludium/documents/origination/sourcing-ic-summary-template.md","Sourcing IC Summary Template (output_template, to ic_summary_artifact_id)")</f>
        <v/>
      </c>
      <c r="I255" s="15" t="inlineStr">
        <is>
          <t>alludium-platform
exa-mcp-hosted
brave-search-mcp
serpapi-mcp
dealroom-mcp
google_drive</t>
        </is>
      </c>
      <c r="J255" s="15" t="inlineStr">
        <is>
          <t>prepare-sourcing-ic-summary</t>
        </is>
      </c>
      <c r="K255" s="15" t="inlineStr">
        <is>
          <t>project_instance</t>
        </is>
      </c>
    </row>
    <row r="256" ht="90" customHeight="1" s="12">
      <c r="A256" s="15" t="inlineStr">
        <is>
          <t>Jay</t>
        </is>
      </c>
      <c r="B256" s="15" t="inlineStr">
        <is>
          <t>Origination Pipeline</t>
        </is>
      </c>
      <c r="C256" s="15" t="inlineStr">
        <is>
          <t>Review Backlog</t>
        </is>
      </c>
      <c r="D256" s="16">
        <f>HYPERLINK('Link Config'!$B$2&amp;"plugins/vc/tasks/prepare-sourcing-ic-summary.md","Prepare Sourcing IC Summary")</f>
        <v/>
      </c>
      <c r="E256" s="15" t="inlineStr">
        <is>
          <t>Prepare a lightweight IC-style summary for a reviewed origination candidate before Deal Pipeline promotion.</t>
        </is>
      </c>
      <c r="F256" s="16">
        <f>HYPERLINK('Link Config'!$B$2&amp;"plugins/vc/agents/vc-ic-prep-producer.md","IC Prep Producer")</f>
        <v/>
      </c>
      <c r="G256" s="16">
        <f>HYPERLINK('Link Config'!$B$2&amp;"plugins/vc/skills/citation-enforcement/SKILL.md","citation-enforcement")</f>
        <v/>
      </c>
      <c r="H256" s="16">
        <f>HYPERLINK('Link Config'!$B$2&amp;"plugins/vc/alludium/documents/origination/origination-source-strategy-guide.md","Origination Source Strategy Guide (methodology)")</f>
        <v/>
      </c>
      <c r="I256" s="15" t="inlineStr">
        <is>
          <t>alludium-platform
exa-mcp-hosted
brave-search-mcp
serpapi-mcp
dealroom-mcp
google_drive</t>
        </is>
      </c>
      <c r="J256" s="15" t="inlineStr">
        <is>
          <t>prepare-sourcing-ic-summary</t>
        </is>
      </c>
      <c r="K256" s="15" t="inlineStr">
        <is>
          <t>project_instance</t>
        </is>
      </c>
    </row>
    <row r="257" ht="90" customHeight="1" s="12">
      <c r="A257" s="15" t="inlineStr">
        <is>
          <t>Jay</t>
        </is>
      </c>
      <c r="B257" s="15" t="inlineStr">
        <is>
          <t>Origination Pipeline</t>
        </is>
      </c>
      <c r="C257" s="15" t="inlineStr">
        <is>
          <t>Review Backlog</t>
        </is>
      </c>
      <c r="D257" s="16">
        <f>HYPERLINK('Link Config'!$B$2&amp;"plugins/vc/tasks/prepare-sourcing-ic-summary.md","Prepare Sourcing IC Summary")</f>
        <v/>
      </c>
      <c r="E257" s="15" t="inlineStr">
        <is>
          <t>Prepare a lightweight IC-style summary for a reviewed origination candidate before Deal Pipeline promotion.</t>
        </is>
      </c>
      <c r="F257" s="16">
        <f>HYPERLINK('Link Config'!$B$2&amp;"plugins/vc/agents/vc-ic-prep-producer.md","IC Prep Producer")</f>
        <v/>
      </c>
      <c r="G257" s="15" t="inlineStr"/>
      <c r="H257" s="16">
        <f>HYPERLINK('Link Config'!$B$2&amp;"plugins/vc/alludium/documents/shared/evidence-citation-style-guide.md","Evidence And Citation Style Guide (style_guide)")</f>
        <v/>
      </c>
      <c r="I257" s="15" t="inlineStr">
        <is>
          <t>alludium-platform
exa-mcp-hosted
brave-search-mcp
serpapi-mcp
dealroom-mcp
google_drive</t>
        </is>
      </c>
      <c r="J257" s="15" t="inlineStr">
        <is>
          <t>prepare-sourcing-ic-summary</t>
        </is>
      </c>
      <c r="K257" s="15" t="inlineStr">
        <is>
          <t>project_instance</t>
        </is>
      </c>
    </row>
    <row r="258" ht="90" customHeight="1" s="12">
      <c r="A258" s="15" t="inlineStr">
        <is>
          <t>Jay</t>
        </is>
      </c>
      <c r="B258" s="15" t="inlineStr">
        <is>
          <t>Origination Pipeline</t>
        </is>
      </c>
      <c r="C258" s="15" t="inlineStr">
        <is>
          <t>Review Backlog</t>
        </is>
      </c>
      <c r="D258" s="16">
        <f>HYPERLINK('Link Config'!$B$2&amp;"plugins/vc/tasks/prepare-sourcing-ic-summary.md","Prepare Sourcing IC Summary")</f>
        <v/>
      </c>
      <c r="E258" s="15" t="inlineStr">
        <is>
          <t>Prepare a lightweight IC-style summary for a reviewed origination candidate before Deal Pipeline promotion.</t>
        </is>
      </c>
      <c r="F258" s="16">
        <f>HYPERLINK('Link Config'!$B$2&amp;"plugins/vc/agents/vc-ic-prep-producer.md","IC Prep Producer")</f>
        <v/>
      </c>
      <c r="G258" s="15" t="inlineStr"/>
      <c r="H258" s="16">
        <f>HYPERLINK('Link Config'!$B$2&amp;"plugins/vc/alludium/documents/shared/template-use-guidance.md","Template Use Guidance (operating_guidance)")</f>
        <v/>
      </c>
      <c r="I258" s="15" t="inlineStr">
        <is>
          <t>alludium-platform
exa-mcp-hosted
brave-search-mcp
serpapi-mcp
dealroom-mcp
google_drive</t>
        </is>
      </c>
      <c r="J258" s="15" t="inlineStr">
        <is>
          <t>prepare-sourcing-ic-summary</t>
        </is>
      </c>
      <c r="K258" s="15" t="inlineStr">
        <is>
          <t>project_instance</t>
        </is>
      </c>
    </row>
    <row r="259" ht="18" customHeight="1" s="12">
      <c r="A259" s="15" t="inlineStr">
        <is>
          <t>Jay</t>
        </is>
      </c>
      <c r="B259" s="15" t="inlineStr">
        <is>
          <t>Origination Pipeline</t>
        </is>
      </c>
      <c r="C259" s="15" t="inlineStr">
        <is>
          <t>Review Backlog</t>
        </is>
      </c>
      <c r="D259" s="16">
        <f>HYPERLINK('Link Config'!$B$2&amp;"plugins/vc/tasks/promote-candidate-to-deal-room.md","Promote Candidate to Deal Pipeline")</f>
        <v/>
      </c>
      <c r="E259" s="15" t="inlineStr">
        <is>
          <t>Prepare a reviewed promotion package for creating or updating a Deal Pipeline from an approved origination candidate.</t>
        </is>
      </c>
      <c r="F259" s="16">
        <f>HYPERLINK('Link Config'!$B$2&amp;"plugins/vc/agents/vc-sourcing-operator.md","Sourcing Operator")</f>
        <v/>
      </c>
      <c r="G259" s="16">
        <f>HYPERLINK('Link Config'!$B$2&amp;"plugins/vc/skills/vc-origination-deal-room-promotion/SKILL.md","vc-origination-deal-room-promotion")</f>
        <v/>
      </c>
      <c r="H259" s="16">
        <f>HYPERLINK('Link Config'!$B$2&amp;"plugins/vc/alludium/documents/origination/promotion-package-template.md","Promotion Package Template (output_template, to promotion_package_artifact_id)")</f>
        <v/>
      </c>
      <c r="I259" s="15" t="inlineStr">
        <is>
          <t>None declared</t>
        </is>
      </c>
      <c r="J259" s="15" t="inlineStr">
        <is>
          <t>promote-candidate-to-deal-room</t>
        </is>
      </c>
      <c r="K259" s="15" t="inlineStr">
        <is>
          <t>project_instance</t>
        </is>
      </c>
    </row>
    <row r="260" ht="18" customHeight="1" s="12">
      <c r="A260" s="15" t="inlineStr">
        <is>
          <t>Jay</t>
        </is>
      </c>
      <c r="B260" s="15" t="inlineStr">
        <is>
          <t>Origination Pipeline</t>
        </is>
      </c>
      <c r="C260" s="15" t="inlineStr">
        <is>
          <t>Review Backlog</t>
        </is>
      </c>
      <c r="D260" s="16">
        <f>HYPERLINK('Link Config'!$B$2&amp;"plugins/vc/tasks/promote-candidate-to-deal-room.md","Promote Candidate to Deal Pipeline")</f>
        <v/>
      </c>
      <c r="E260" s="15" t="inlineStr">
        <is>
          <t>Prepare a reviewed promotion package for creating or updating a Deal Pipeline from an approved origination candidate.</t>
        </is>
      </c>
      <c r="F260" s="16">
        <f>HYPERLINK('Link Config'!$B$2&amp;"plugins/vc/agents/vc-sourcing-operator.md","Sourcing Operator")</f>
        <v/>
      </c>
      <c r="G260" s="16">
        <f>HYPERLINK('Link Config'!$B$2&amp;"plugins/vc/skills/citation-enforcement/SKILL.md","citation-enforcement")</f>
        <v/>
      </c>
      <c r="H260" s="16">
        <f>HYPERLINK('Link Config'!$B$2&amp;"plugins/vc/alludium/documents/origination/origination-source-strategy-guide.md","Origination Source Strategy Guide (methodology)")</f>
        <v/>
      </c>
      <c r="I260" s="15" t="inlineStr">
        <is>
          <t>None declared</t>
        </is>
      </c>
      <c r="J260" s="15" t="inlineStr">
        <is>
          <t>promote-candidate-to-deal-room</t>
        </is>
      </c>
      <c r="K260" s="15" t="inlineStr">
        <is>
          <t>project_instance</t>
        </is>
      </c>
    </row>
    <row r="261" ht="18" customHeight="1" s="12">
      <c r="A261" s="15" t="inlineStr">
        <is>
          <t>Jay</t>
        </is>
      </c>
      <c r="B261" s="15" t="inlineStr">
        <is>
          <t>Origination Pipeline</t>
        </is>
      </c>
      <c r="C261" s="15" t="inlineStr">
        <is>
          <t>Review Backlog</t>
        </is>
      </c>
      <c r="D261" s="16">
        <f>HYPERLINK('Link Config'!$B$2&amp;"plugins/vc/tasks/promote-candidate-to-deal-room.md","Promote Candidate to Deal Pipeline")</f>
        <v/>
      </c>
      <c r="E261" s="15" t="inlineStr">
        <is>
          <t>Prepare a reviewed promotion package for creating or updating a Deal Pipeline from an approved origination candidate.</t>
        </is>
      </c>
      <c r="F261" s="16">
        <f>HYPERLINK('Link Config'!$B$2&amp;"plugins/vc/agents/vc-sourcing-operator.md","Sourcing Operator")</f>
        <v/>
      </c>
      <c r="G261" s="16">
        <f>HYPERLINK('Link Config'!$B$2&amp;"plugins/vc/skills/deal-room-setup-and-source-ingestion/SKILL.md","deal-room-setup-and-source-ingestion")</f>
        <v/>
      </c>
      <c r="H261" s="16">
        <f>HYPERLINK('Link Config'!$B$2&amp;"plugins/vc/alludium/documents/shared/template-use-guidance.md","Template Use Guidance (operating_guidance)")</f>
        <v/>
      </c>
      <c r="I261" s="15" t="inlineStr">
        <is>
          <t>None declared</t>
        </is>
      </c>
      <c r="J261" s="15" t="inlineStr">
        <is>
          <t>promote-candidate-to-deal-room</t>
        </is>
      </c>
      <c r="K261" s="15" t="inlineStr">
        <is>
          <t>project_instance</t>
        </is>
      </c>
    </row>
    <row r="262" ht="18" customHeight="1" s="12">
      <c r="A262" s="15" t="inlineStr"/>
      <c r="B262" s="15" t="inlineStr">
        <is>
          <t>Investment Management</t>
        </is>
      </c>
      <c r="C262" s="15" t="inlineStr">
        <is>
          <t>Setup</t>
        </is>
      </c>
      <c r="D262" s="15" t="inlineStr">
        <is>
          <t>Project Variable Review</t>
        </is>
      </c>
      <c r="E262" s="15" t="inlineStr">
        <is>
          <t>Review workspace and project variables before normal execution.</t>
        </is>
      </c>
      <c r="F262" s="16">
        <f>HYPERLINK('Link Config'!$B$2&amp;"plugins/vc/agents/vc-legal-compliance-desk.md","Legal &amp; Compliance Desk")</f>
        <v/>
      </c>
      <c r="G262" s="15" t="inlineStr">
        <is>
          <t>None declared</t>
        </is>
      </c>
      <c r="H262" s="15" t="inlineStr">
        <is>
          <t>None declared</t>
        </is>
      </c>
      <c r="I262" s="15" t="inlineStr">
        <is>
          <t>None declared</t>
        </is>
      </c>
      <c r="J262" s="15" t="inlineStr">
        <is>
          <t>project-variable-review</t>
        </is>
      </c>
      <c r="K262" s="15" t="inlineStr">
        <is>
          <t>setup</t>
        </is>
      </c>
    </row>
    <row r="263" ht="18" customHeight="1" s="12">
      <c r="A263" s="15" t="inlineStr"/>
      <c r="B263" s="15" t="inlineStr">
        <is>
          <t>Investment Management</t>
        </is>
      </c>
      <c r="C263" s="15" t="inlineStr">
        <is>
          <t>Setup</t>
        </is>
      </c>
      <c r="D263" s="15" t="inlineStr">
        <is>
          <t>Project Team Invite Review</t>
        </is>
      </c>
      <c r="E263" s="15" t="inlineStr">
        <is>
          <t>Review suggested collaborators before sending invitations.</t>
        </is>
      </c>
      <c r="F263" s="16">
        <f>HYPERLINK('Link Config'!$B$2&amp;"plugins/vc/agents/vc-legal-compliance-desk.md","Legal &amp; Compliance Desk")</f>
        <v/>
      </c>
      <c r="G263" s="15" t="inlineStr">
        <is>
          <t>None declared</t>
        </is>
      </c>
      <c r="H263" s="15" t="inlineStr">
        <is>
          <t>None declared</t>
        </is>
      </c>
      <c r="I263" s="15" t="inlineStr">
        <is>
          <t>None declared</t>
        </is>
      </c>
      <c r="J263" s="15" t="inlineStr">
        <is>
          <t>project-team-invite</t>
        </is>
      </c>
      <c r="K263" s="15" t="inlineStr">
        <is>
          <t>setup</t>
        </is>
      </c>
    </row>
    <row r="264" ht="90" customHeight="1" s="12">
      <c r="A264" s="15" t="inlineStr"/>
      <c r="B264" s="15" t="inlineStr">
        <is>
          <t>Investment Management</t>
        </is>
      </c>
      <c r="C264" s="15" t="inlineStr">
        <is>
          <t>Setup</t>
        </is>
      </c>
      <c r="D264" s="16">
        <f>HYPERLINK('Link Config'!$B$2&amp;"plugins/vc/tasks/vc-pack-variable-discovery.md","VC Pack Variable Discovery")</f>
        <v/>
      </c>
      <c r="E264" s="15" t="inlineStr">
        <is>
          <t>Best-effort, review-only discovery for VC Pack Setup variables and invite suggestions.</t>
        </is>
      </c>
      <c r="F264" s="16">
        <f>HYPERLINK('Link Config'!$B$2&amp;"plugins/vc/agents/vc-legal-compliance-desk.md","Legal &amp; Compliance Desk")</f>
        <v/>
      </c>
      <c r="G264" s="15" t="inlineStr">
        <is>
          <t>None declared</t>
        </is>
      </c>
      <c r="H264" s="15" t="inlineStr">
        <is>
          <t>None declared</t>
        </is>
      </c>
      <c r="I264" s="15" t="inlineStr">
        <is>
          <t>alludium-platform
affinity-mcp-server
exa-mcp-hosted
brave-search-mcp
dealroom-mcp
google_drive</t>
        </is>
      </c>
      <c r="J264" s="15" t="inlineStr">
        <is>
          <t>vc-pack-variable-discovery</t>
        </is>
      </c>
      <c r="K264" s="15" t="inlineStr">
        <is>
          <t>setup</t>
        </is>
      </c>
    </row>
    <row r="265" ht="120" customHeight="1" s="12">
      <c r="A265" s="15" t="inlineStr">
        <is>
          <t>Alex</t>
        </is>
      </c>
      <c r="B265" s="15" t="inlineStr">
        <is>
          <t>Investment Management</t>
        </is>
      </c>
      <c r="C265" s="15" t="inlineStr">
        <is>
          <t>Formal Diligence</t>
        </is>
      </c>
      <c r="D265" s="16">
        <f>HYPERLINK('Link Config'!$B$2&amp;"plugins/vc/tasks/run-commercial-dd.md","Run Commercial DD")</f>
        <v/>
      </c>
      <c r="E265" s="15" t="inlineStr">
        <is>
          <t>Run Commercial DD for one venture-capital opportunity with evidence capture, human review gates, and next-action recommendations.</t>
        </is>
      </c>
      <c r="F265" s="16">
        <f>HYPERLINK('Link Config'!$B$2&amp;"plugins/vc/agents/vc-diligence-analyst.md","Diligence Analyst")</f>
        <v/>
      </c>
      <c r="G265" s="16">
        <f>HYPERLINK('Link Config'!$B$2&amp;"plugins/vc/skills/citation-enforcement/SKILL.md","citation-enforcement")</f>
        <v/>
      </c>
      <c r="H265" s="16">
        <f>HYPERLINK('Link Config'!$B$2&amp;"plugins/vc/alludium/documents/deal-room/diligence-report-template.md","Diligence Report Template (output_template, to commercial_dd_artifact_id)")</f>
        <v/>
      </c>
      <c r="I265" s="15" t="inlineStr">
        <is>
          <t>alludium-platform
harmonic-mcp-oauth
affinity-mcp-server
exa-mcp-hosted
brave-search-mcp
serpapi-mcp
firecrawl-mcp-hosted
dealroom-mcp</t>
        </is>
      </c>
      <c r="J265" s="15" t="inlineStr">
        <is>
          <t>run-commercial-dd</t>
        </is>
      </c>
      <c r="K265" s="15" t="inlineStr">
        <is>
          <t>project_instance</t>
        </is>
      </c>
    </row>
    <row r="266" ht="120" customHeight="1" s="12">
      <c r="A266" s="15" t="inlineStr">
        <is>
          <t>Alex</t>
        </is>
      </c>
      <c r="B266" s="15" t="inlineStr">
        <is>
          <t>Investment Management</t>
        </is>
      </c>
      <c r="C266" s="15" t="inlineStr">
        <is>
          <t>Formal Diligence</t>
        </is>
      </c>
      <c r="D266" s="16">
        <f>HYPERLINK('Link Config'!$B$2&amp;"plugins/vc/tasks/run-commercial-dd.md","Run Commercial DD")</f>
        <v/>
      </c>
      <c r="E266" s="15" t="inlineStr">
        <is>
          <t>Run Commercial DD for one venture-capital opportunity with evidence capture, human review gates, and next-action recommendations.</t>
        </is>
      </c>
      <c r="F266" s="16">
        <f>HYPERLINK('Link Config'!$B$2&amp;"plugins/vc/agents/vc-diligence-analyst.md","Diligence Analyst")</f>
        <v/>
      </c>
      <c r="G266" s="16">
        <f>HYPERLINK('Link Config'!$B$2&amp;"plugins/vc/skills/commercial-diligence-workstream/SKILL.md","commercial-diligence-workstream")</f>
        <v/>
      </c>
      <c r="H266" s="16">
        <f>HYPERLINK('Link Config'!$B$2&amp;"plugins/vc/alludium/documents/deal-room/formal-diligence-workstream-guide.md","Formal Diligence Workstream Guide (methodology)")</f>
        <v/>
      </c>
      <c r="I266" s="15" t="inlineStr">
        <is>
          <t>alludium-platform
harmonic-mcp-oauth
affinity-mcp-server
exa-mcp-hosted
brave-search-mcp
serpapi-mcp
firecrawl-mcp-hosted
dealroom-mcp</t>
        </is>
      </c>
      <c r="J266" s="15" t="inlineStr">
        <is>
          <t>run-commercial-dd</t>
        </is>
      </c>
      <c r="K266" s="15" t="inlineStr">
        <is>
          <t>project_instance</t>
        </is>
      </c>
    </row>
    <row r="267" ht="120" customHeight="1" s="12">
      <c r="A267" s="15" t="inlineStr">
        <is>
          <t>Alex</t>
        </is>
      </c>
      <c r="B267" s="15" t="inlineStr">
        <is>
          <t>Investment Management</t>
        </is>
      </c>
      <c r="C267" s="15" t="inlineStr">
        <is>
          <t>Formal Diligence</t>
        </is>
      </c>
      <c r="D267" s="16">
        <f>HYPERLINK('Link Config'!$B$2&amp;"plugins/vc/tasks/run-commercial-dd.md","Run Commercial DD")</f>
        <v/>
      </c>
      <c r="E267" s="15" t="inlineStr">
        <is>
          <t>Run Commercial DD for one venture-capital opportunity with evidence capture, human review gates, and next-action recommendations.</t>
        </is>
      </c>
      <c r="F267" s="16">
        <f>HYPERLINK('Link Config'!$B$2&amp;"plugins/vc/agents/vc-diligence-analyst.md","Diligence Analyst")</f>
        <v/>
      </c>
      <c r="G267" s="15" t="inlineStr"/>
      <c r="H267" s="16">
        <f>HYPERLINK('Link Config'!$B$2&amp;"plugins/vc/alludium/documents/deal-room/formal-diligence-checklist.md","Formal Diligence Checklist (checklist)")</f>
        <v/>
      </c>
      <c r="I267" s="15" t="inlineStr">
        <is>
          <t>alludium-platform
harmonic-mcp-oauth
affinity-mcp-server
exa-mcp-hosted
brave-search-mcp
serpapi-mcp
firecrawl-mcp-hosted
dealroom-mcp</t>
        </is>
      </c>
      <c r="J267" s="15" t="inlineStr">
        <is>
          <t>run-commercial-dd</t>
        </is>
      </c>
      <c r="K267" s="15" t="inlineStr">
        <is>
          <t>project_instance</t>
        </is>
      </c>
    </row>
    <row r="268" ht="120" customHeight="1" s="12">
      <c r="A268" s="15" t="inlineStr">
        <is>
          <t>Alex</t>
        </is>
      </c>
      <c r="B268" s="15" t="inlineStr">
        <is>
          <t>Investment Management</t>
        </is>
      </c>
      <c r="C268" s="15" t="inlineStr">
        <is>
          <t>Formal Diligence</t>
        </is>
      </c>
      <c r="D268" s="16">
        <f>HYPERLINK('Link Config'!$B$2&amp;"plugins/vc/tasks/run-commercial-dd.md","Run Commercial DD")</f>
        <v/>
      </c>
      <c r="E268" s="15" t="inlineStr">
        <is>
          <t>Run Commercial DD for one venture-capital opportunity with evidence capture, human review gates, and next-action recommendations.</t>
        </is>
      </c>
      <c r="F268" s="16">
        <f>HYPERLINK('Link Config'!$B$2&amp;"plugins/vc/agents/vc-diligence-analyst.md","Diligence Analyst")</f>
        <v/>
      </c>
      <c r="G268" s="15" t="inlineStr"/>
      <c r="H268" s="16">
        <f>HYPERLINK('Link Config'!$B$2&amp;"plugins/vc/alludium/documents/shared/evidence-citation-style-guide.md","Evidence And Citation Style Guide (style_guide)")</f>
        <v/>
      </c>
      <c r="I268" s="15" t="inlineStr">
        <is>
          <t>alludium-platform
harmonic-mcp-oauth
affinity-mcp-server
exa-mcp-hosted
brave-search-mcp
serpapi-mcp
firecrawl-mcp-hosted
dealroom-mcp</t>
        </is>
      </c>
      <c r="J268" s="15" t="inlineStr">
        <is>
          <t>run-commercial-dd</t>
        </is>
      </c>
      <c r="K268" s="15" t="inlineStr">
        <is>
          <t>project_instance</t>
        </is>
      </c>
    </row>
    <row r="269" ht="120" customHeight="1" s="12">
      <c r="A269" s="15" t="inlineStr">
        <is>
          <t>Alex</t>
        </is>
      </c>
      <c r="B269" s="15" t="inlineStr">
        <is>
          <t>Investment Management</t>
        </is>
      </c>
      <c r="C269" s="15" t="inlineStr">
        <is>
          <t>Formal Diligence</t>
        </is>
      </c>
      <c r="D269" s="16">
        <f>HYPERLINK('Link Config'!$B$2&amp;"plugins/vc/tasks/run-commercial-dd.md","Run Commercial DD")</f>
        <v/>
      </c>
      <c r="E269" s="15" t="inlineStr">
        <is>
          <t>Run Commercial DD for one venture-capital opportunity with evidence capture, human review gates, and next-action recommendations.</t>
        </is>
      </c>
      <c r="F269" s="16">
        <f>HYPERLINK('Link Config'!$B$2&amp;"plugins/vc/agents/vc-diligence-analyst.md","Diligence Analyst")</f>
        <v/>
      </c>
      <c r="G269" s="15" t="inlineStr"/>
      <c r="H269" s="16">
        <f>HYPERLINK('Link Config'!$B$2&amp;"plugins/vc/alludium/documents/shared/template-use-guidance.md","Template Use Guidance (operating_guidance)")</f>
        <v/>
      </c>
      <c r="I269" s="15" t="inlineStr">
        <is>
          <t>alludium-platform
harmonic-mcp-oauth
affinity-mcp-server
exa-mcp-hosted
brave-search-mcp
serpapi-mcp
firecrawl-mcp-hosted
dealroom-mcp</t>
        </is>
      </c>
      <c r="J269" s="15" t="inlineStr">
        <is>
          <t>run-commercial-dd</t>
        </is>
      </c>
      <c r="K269" s="15" t="inlineStr">
        <is>
          <t>project_instance</t>
        </is>
      </c>
    </row>
    <row r="270" ht="120" customHeight="1" s="12">
      <c r="A270" s="15" t="inlineStr">
        <is>
          <t>Hunter</t>
        </is>
      </c>
      <c r="B270" s="15" t="inlineStr">
        <is>
          <t>Investment Management</t>
        </is>
      </c>
      <c r="C270" s="15" t="inlineStr">
        <is>
          <t>Formal Diligence</t>
        </is>
      </c>
      <c r="D270" s="16">
        <f>HYPERLINK('Link Config'!$B$2&amp;"plugins/vc/tasks/run-financial-dd.md","Run Financial DD")</f>
        <v/>
      </c>
      <c r="E270" s="15" t="inlineStr">
        <is>
          <t>Run Financial DD for one venture-capital opportunity with evidence capture, human review gates, and next-action recommendations.</t>
        </is>
      </c>
      <c r="F270" s="16">
        <f>HYPERLINK('Link Config'!$B$2&amp;"plugins/vc/agents/vc-diligence-analyst.md","Diligence Analyst")</f>
        <v/>
      </c>
      <c r="G270" s="16">
        <f>HYPERLINK('Link Config'!$B$2&amp;"plugins/vc/skills/citation-enforcement/SKILL.md","citation-enforcement")</f>
        <v/>
      </c>
      <c r="H270" s="16">
        <f>HYPERLINK('Link Config'!$B$2&amp;"plugins/vc/alludium/documents/deal-room/diligence-report-template.md","Diligence Report Template (output_template, to financial_dd_artifact_id)")</f>
        <v/>
      </c>
      <c r="I270" s="15" t="inlineStr">
        <is>
          <t>alludium-platform
harmonic-mcp-oauth
affinity-mcp-server
exa-mcp-hosted
brave-search-mcp
serpapi-mcp
firecrawl-mcp-hosted
dealroom-mcp</t>
        </is>
      </c>
      <c r="J270" s="15" t="inlineStr">
        <is>
          <t>run-financial-dd</t>
        </is>
      </c>
      <c r="K270" s="15" t="inlineStr">
        <is>
          <t>project_instance</t>
        </is>
      </c>
    </row>
    <row r="271" ht="120" customHeight="1" s="12">
      <c r="A271" s="15" t="inlineStr">
        <is>
          <t>Hunter</t>
        </is>
      </c>
      <c r="B271" s="15" t="inlineStr">
        <is>
          <t>Investment Management</t>
        </is>
      </c>
      <c r="C271" s="15" t="inlineStr">
        <is>
          <t>Formal Diligence</t>
        </is>
      </c>
      <c r="D271" s="16">
        <f>HYPERLINK('Link Config'!$B$2&amp;"plugins/vc/tasks/run-financial-dd.md","Run Financial DD")</f>
        <v/>
      </c>
      <c r="E271" s="15" t="inlineStr">
        <is>
          <t>Run Financial DD for one venture-capital opportunity with evidence capture, human review gates, and next-action recommendations.</t>
        </is>
      </c>
      <c r="F271" s="16">
        <f>HYPERLINK('Link Config'!$B$2&amp;"plugins/vc/agents/vc-diligence-analyst.md","Diligence Analyst")</f>
        <v/>
      </c>
      <c r="G271" s="16">
        <f>HYPERLINK('Link Config'!$B$2&amp;"plugins/vc/skills/financial-diligence-workstream/SKILL.md","financial-diligence-workstream")</f>
        <v/>
      </c>
      <c r="H271" s="16">
        <f>HYPERLINK('Link Config'!$B$2&amp;"plugins/vc/alludium/documents/deal-room/formal-diligence-workstream-guide.md","Formal Diligence Workstream Guide (methodology)")</f>
        <v/>
      </c>
      <c r="I271" s="15" t="inlineStr">
        <is>
          <t>alludium-platform
harmonic-mcp-oauth
affinity-mcp-server
exa-mcp-hosted
brave-search-mcp
serpapi-mcp
firecrawl-mcp-hosted
dealroom-mcp</t>
        </is>
      </c>
      <c r="J271" s="15" t="inlineStr">
        <is>
          <t>run-financial-dd</t>
        </is>
      </c>
      <c r="K271" s="15" t="inlineStr">
        <is>
          <t>project_instance</t>
        </is>
      </c>
    </row>
    <row r="272" ht="120" customHeight="1" s="12">
      <c r="A272" s="15" t="inlineStr">
        <is>
          <t>Hunter</t>
        </is>
      </c>
      <c r="B272" s="15" t="inlineStr">
        <is>
          <t>Investment Management</t>
        </is>
      </c>
      <c r="C272" s="15" t="inlineStr">
        <is>
          <t>Formal Diligence</t>
        </is>
      </c>
      <c r="D272" s="16">
        <f>HYPERLINK('Link Config'!$B$2&amp;"plugins/vc/tasks/run-financial-dd.md","Run Financial DD")</f>
        <v/>
      </c>
      <c r="E272" s="15" t="inlineStr">
        <is>
          <t>Run Financial DD for one venture-capital opportunity with evidence capture, human review gates, and next-action recommendations.</t>
        </is>
      </c>
      <c r="F272" s="16">
        <f>HYPERLINK('Link Config'!$B$2&amp;"plugins/vc/agents/vc-diligence-analyst.md","Diligence Analyst")</f>
        <v/>
      </c>
      <c r="G272" s="15" t="inlineStr"/>
      <c r="H272" s="16">
        <f>HYPERLINK('Link Config'!$B$2&amp;"plugins/vc/alludium/documents/deal-room/formal-diligence-checklist.md","Formal Diligence Checklist (checklist)")</f>
        <v/>
      </c>
      <c r="I272" s="15" t="inlineStr">
        <is>
          <t>alludium-platform
harmonic-mcp-oauth
affinity-mcp-server
exa-mcp-hosted
brave-search-mcp
serpapi-mcp
firecrawl-mcp-hosted
dealroom-mcp</t>
        </is>
      </c>
      <c r="J272" s="15" t="inlineStr">
        <is>
          <t>run-financial-dd</t>
        </is>
      </c>
      <c r="K272" s="15" t="inlineStr">
        <is>
          <t>project_instance</t>
        </is>
      </c>
    </row>
    <row r="273" ht="120" customHeight="1" s="12">
      <c r="A273" s="15" t="inlineStr">
        <is>
          <t>Hunter</t>
        </is>
      </c>
      <c r="B273" s="15" t="inlineStr">
        <is>
          <t>Investment Management</t>
        </is>
      </c>
      <c r="C273" s="15" t="inlineStr">
        <is>
          <t>Formal Diligence</t>
        </is>
      </c>
      <c r="D273" s="16">
        <f>HYPERLINK('Link Config'!$B$2&amp;"plugins/vc/tasks/run-financial-dd.md","Run Financial DD")</f>
        <v/>
      </c>
      <c r="E273" s="15" t="inlineStr">
        <is>
          <t>Run Financial DD for one venture-capital opportunity with evidence capture, human review gates, and next-action recommendations.</t>
        </is>
      </c>
      <c r="F273" s="16">
        <f>HYPERLINK('Link Config'!$B$2&amp;"plugins/vc/agents/vc-diligence-analyst.md","Diligence Analyst")</f>
        <v/>
      </c>
      <c r="G273" s="15" t="inlineStr"/>
      <c r="H273" s="16">
        <f>HYPERLINK('Link Config'!$B$2&amp;"plugins/vc/alludium/documents/deal-room/diligence-report-template.md","Diligence Report Template (output_template, to unit_economics_artifact_id)")</f>
        <v/>
      </c>
      <c r="I273" s="15" t="inlineStr">
        <is>
          <t>alludium-platform
harmonic-mcp-oauth
affinity-mcp-server
exa-mcp-hosted
brave-search-mcp
serpapi-mcp
firecrawl-mcp-hosted
dealroom-mcp</t>
        </is>
      </c>
      <c r="J273" s="15" t="inlineStr">
        <is>
          <t>run-financial-dd</t>
        </is>
      </c>
      <c r="K273" s="15" t="inlineStr">
        <is>
          <t>project_instance</t>
        </is>
      </c>
    </row>
    <row r="274" ht="120" customHeight="1" s="12">
      <c r="A274" s="15" t="inlineStr">
        <is>
          <t>Hunter</t>
        </is>
      </c>
      <c r="B274" s="15" t="inlineStr">
        <is>
          <t>Investment Management</t>
        </is>
      </c>
      <c r="C274" s="15" t="inlineStr">
        <is>
          <t>Formal Diligence</t>
        </is>
      </c>
      <c r="D274" s="16">
        <f>HYPERLINK('Link Config'!$B$2&amp;"plugins/vc/tasks/run-financial-dd.md","Run Financial DD")</f>
        <v/>
      </c>
      <c r="E274" s="15" t="inlineStr">
        <is>
          <t>Run Financial DD for one venture-capital opportunity with evidence capture, human review gates, and next-action recommendations.</t>
        </is>
      </c>
      <c r="F274" s="16">
        <f>HYPERLINK('Link Config'!$B$2&amp;"plugins/vc/agents/vc-diligence-analyst.md","Diligence Analyst")</f>
        <v/>
      </c>
      <c r="G274" s="15" t="inlineStr"/>
      <c r="H274" s="16">
        <f>HYPERLINK('Link Config'!$B$2&amp;"plugins/vc/alludium/documents/shared/evidence-citation-style-guide.md","Evidence And Citation Style Guide (style_guide)")</f>
        <v/>
      </c>
      <c r="I274" s="15" t="inlineStr">
        <is>
          <t>alludium-platform
harmonic-mcp-oauth
affinity-mcp-server
exa-mcp-hosted
brave-search-mcp
serpapi-mcp
firecrawl-mcp-hosted
dealroom-mcp</t>
        </is>
      </c>
      <c r="J274" s="15" t="inlineStr">
        <is>
          <t>run-financial-dd</t>
        </is>
      </c>
      <c r="K274" s="15" t="inlineStr">
        <is>
          <t>project_instance</t>
        </is>
      </c>
    </row>
    <row r="275" ht="120" customHeight="1" s="12">
      <c r="A275" s="15" t="inlineStr">
        <is>
          <t>Hunter</t>
        </is>
      </c>
      <c r="B275" s="15" t="inlineStr">
        <is>
          <t>Investment Management</t>
        </is>
      </c>
      <c r="C275" s="15" t="inlineStr">
        <is>
          <t>Formal Diligence</t>
        </is>
      </c>
      <c r="D275" s="16">
        <f>HYPERLINK('Link Config'!$B$2&amp;"plugins/vc/tasks/run-financial-dd.md","Run Financial DD")</f>
        <v/>
      </c>
      <c r="E275" s="15" t="inlineStr">
        <is>
          <t>Run Financial DD for one venture-capital opportunity with evidence capture, human review gates, and next-action recommendations.</t>
        </is>
      </c>
      <c r="F275" s="16">
        <f>HYPERLINK('Link Config'!$B$2&amp;"plugins/vc/agents/vc-diligence-analyst.md","Diligence Analyst")</f>
        <v/>
      </c>
      <c r="G275" s="15" t="inlineStr"/>
      <c r="H275" s="16">
        <f>HYPERLINK('Link Config'!$B$2&amp;"plugins/vc/alludium/documents/shared/template-use-guidance.md","Template Use Guidance (operating_guidance)")</f>
        <v/>
      </c>
      <c r="I275" s="15" t="inlineStr">
        <is>
          <t>alludium-platform
harmonic-mcp-oauth
affinity-mcp-server
exa-mcp-hosted
brave-search-mcp
serpapi-mcp
firecrawl-mcp-hosted
dealroom-mcp</t>
        </is>
      </c>
      <c r="J275" s="15" t="inlineStr">
        <is>
          <t>run-financial-dd</t>
        </is>
      </c>
      <c r="K275" s="15" t="inlineStr">
        <is>
          <t>project_instance</t>
        </is>
      </c>
    </row>
    <row r="276" ht="120" customHeight="1" s="12">
      <c r="A276" s="15" t="inlineStr">
        <is>
          <t>Hunter</t>
        </is>
      </c>
      <c r="B276" s="15" t="inlineStr">
        <is>
          <t>Investment Management</t>
        </is>
      </c>
      <c r="C276" s="15" t="inlineStr">
        <is>
          <t>Formal Diligence</t>
        </is>
      </c>
      <c r="D276" s="16">
        <f>HYPERLINK('Link Config'!$B$2&amp;"plugins/vc/tasks/run-founder-evaluation.md","Run Founder Evaluation")</f>
        <v/>
      </c>
      <c r="E276" s="15" t="inlineStr">
        <is>
          <t>Run Founder Evaluation for one venture-capital opportunity with evidence capture, human review gates, and next-action recommendations.</t>
        </is>
      </c>
      <c r="F276" s="16">
        <f>HYPERLINK('Link Config'!$B$2&amp;"plugins/vc/agents/vc-diligence-analyst.md","Diligence Analyst")</f>
        <v/>
      </c>
      <c r="G276" s="16">
        <f>HYPERLINK('Link Config'!$B$2&amp;"plugins/vc/skills/team-and-hiring-assessment/SKILL.md","team-and-hiring-assessment")</f>
        <v/>
      </c>
      <c r="H276" s="16">
        <f>HYPERLINK('Link Config'!$B$2&amp;"plugins/vc/alludium/documents/deal-room/diligence-report-template.md","Diligence Report Template (output_template, to founder_evaluation_artifact_id)")</f>
        <v/>
      </c>
      <c r="I276" s="15" t="inlineStr">
        <is>
          <t>alludium-platform
harmonic-mcp-oauth
affinity-mcp-server
exa-mcp-hosted
brave-search-mcp
serpapi-mcp
firecrawl-mcp-hosted
dealroom-mcp</t>
        </is>
      </c>
      <c r="J276" s="15" t="inlineStr">
        <is>
          <t>run-founder-evaluation</t>
        </is>
      </c>
      <c r="K276" s="15" t="inlineStr">
        <is>
          <t>project_instance</t>
        </is>
      </c>
    </row>
    <row r="277" ht="120" customHeight="1" s="12">
      <c r="A277" s="15" t="inlineStr">
        <is>
          <t>Hunter</t>
        </is>
      </c>
      <c r="B277" s="15" t="inlineStr">
        <is>
          <t>Investment Management</t>
        </is>
      </c>
      <c r="C277" s="15" t="inlineStr">
        <is>
          <t>Formal Diligence</t>
        </is>
      </c>
      <c r="D277" s="16">
        <f>HYPERLINK('Link Config'!$B$2&amp;"plugins/vc/tasks/run-founder-evaluation.md","Run Founder Evaluation")</f>
        <v/>
      </c>
      <c r="E277" s="15" t="inlineStr">
        <is>
          <t>Run Founder Evaluation for one venture-capital opportunity with evidence capture, human review gates, and next-action recommendations.</t>
        </is>
      </c>
      <c r="F277" s="16">
        <f>HYPERLINK('Link Config'!$B$2&amp;"plugins/vc/agents/vc-diligence-analyst.md","Diligence Analyst")</f>
        <v/>
      </c>
      <c r="G277" s="16">
        <f>HYPERLINK('Link Config'!$B$2&amp;"plugins/vc/skills/red-flags-scanner/SKILL.md","red-flags-scanner")</f>
        <v/>
      </c>
      <c r="H277" s="16">
        <f>HYPERLINK('Link Config'!$B$2&amp;"plugins/vc/alludium/documents/deal-room/formal-diligence-workstream-guide.md","Formal Diligence Workstream Guide (methodology)")</f>
        <v/>
      </c>
      <c r="I277" s="15" t="inlineStr">
        <is>
          <t>alludium-platform
harmonic-mcp-oauth
affinity-mcp-server
exa-mcp-hosted
brave-search-mcp
serpapi-mcp
firecrawl-mcp-hosted
dealroom-mcp</t>
        </is>
      </c>
      <c r="J277" s="15" t="inlineStr">
        <is>
          <t>run-founder-evaluation</t>
        </is>
      </c>
      <c r="K277" s="15" t="inlineStr">
        <is>
          <t>project_instance</t>
        </is>
      </c>
    </row>
    <row r="278" ht="120" customHeight="1" s="12">
      <c r="A278" s="15" t="inlineStr">
        <is>
          <t>Hunter</t>
        </is>
      </c>
      <c r="B278" s="15" t="inlineStr">
        <is>
          <t>Investment Management</t>
        </is>
      </c>
      <c r="C278" s="15" t="inlineStr">
        <is>
          <t>Formal Diligence</t>
        </is>
      </c>
      <c r="D278" s="16">
        <f>HYPERLINK('Link Config'!$B$2&amp;"plugins/vc/tasks/run-founder-evaluation.md","Run Founder Evaluation")</f>
        <v/>
      </c>
      <c r="E278" s="15" t="inlineStr">
        <is>
          <t>Run Founder Evaluation for one venture-capital opportunity with evidence capture, human review gates, and next-action recommendations.</t>
        </is>
      </c>
      <c r="F278" s="16">
        <f>HYPERLINK('Link Config'!$B$2&amp;"plugins/vc/agents/vc-diligence-analyst.md","Diligence Analyst")</f>
        <v/>
      </c>
      <c r="G278" s="16">
        <f>HYPERLINK('Link Config'!$B$2&amp;"plugins/vc/skills/citation-enforcement/SKILL.md","citation-enforcement")</f>
        <v/>
      </c>
      <c r="H278" s="16">
        <f>HYPERLINK('Link Config'!$B$2&amp;"plugins/vc/alludium/documents/deal-room/formal-diligence-checklist.md","Formal Diligence Checklist (checklist)")</f>
        <v/>
      </c>
      <c r="I278" s="15" t="inlineStr">
        <is>
          <t>alludium-platform
harmonic-mcp-oauth
affinity-mcp-server
exa-mcp-hosted
brave-search-mcp
serpapi-mcp
firecrawl-mcp-hosted
dealroom-mcp</t>
        </is>
      </c>
      <c r="J278" s="15" t="inlineStr">
        <is>
          <t>run-founder-evaluation</t>
        </is>
      </c>
      <c r="K278" s="15" t="inlineStr">
        <is>
          <t>project_instance</t>
        </is>
      </c>
    </row>
    <row r="279" ht="120" customHeight="1" s="12">
      <c r="A279" s="15" t="inlineStr">
        <is>
          <t>Hunter</t>
        </is>
      </c>
      <c r="B279" s="15" t="inlineStr">
        <is>
          <t>Investment Management</t>
        </is>
      </c>
      <c r="C279" s="15" t="inlineStr">
        <is>
          <t>Formal Diligence</t>
        </is>
      </c>
      <c r="D279" s="16">
        <f>HYPERLINK('Link Config'!$B$2&amp;"plugins/vc/tasks/run-founder-evaluation.md","Run Founder Evaluation")</f>
        <v/>
      </c>
      <c r="E279" s="15" t="inlineStr">
        <is>
          <t>Run Founder Evaluation for one venture-capital opportunity with evidence capture, human review gates, and next-action recommendations.</t>
        </is>
      </c>
      <c r="F279" s="16">
        <f>HYPERLINK('Link Config'!$B$2&amp;"plugins/vc/agents/vc-diligence-analyst.md","Diligence Analyst")</f>
        <v/>
      </c>
      <c r="G279" s="16">
        <f>HYPERLINK('Link Config'!$B$2&amp;"plugins/vc/skills/founder-evaluation-and-reference-checking/SKILL.md","founder-evaluation-and-reference-checking")</f>
        <v/>
      </c>
      <c r="H279" s="16">
        <f>HYPERLINK('Link Config'!$B$2&amp;"plugins/vc/alludium/documents/shared/evidence-citation-style-guide.md","Evidence And Citation Style Guide (style_guide)")</f>
        <v/>
      </c>
      <c r="I279" s="15" t="inlineStr">
        <is>
          <t>alludium-platform
harmonic-mcp-oauth
affinity-mcp-server
exa-mcp-hosted
brave-search-mcp
serpapi-mcp
firecrawl-mcp-hosted
dealroom-mcp</t>
        </is>
      </c>
      <c r="J279" s="15" t="inlineStr">
        <is>
          <t>run-founder-evaluation</t>
        </is>
      </c>
      <c r="K279" s="15" t="inlineStr">
        <is>
          <t>project_instance</t>
        </is>
      </c>
    </row>
    <row r="280" ht="120" customHeight="1" s="12">
      <c r="A280" s="15" t="inlineStr">
        <is>
          <t>Hunter</t>
        </is>
      </c>
      <c r="B280" s="15" t="inlineStr">
        <is>
          <t>Investment Management</t>
        </is>
      </c>
      <c r="C280" s="15" t="inlineStr">
        <is>
          <t>Formal Diligence</t>
        </is>
      </c>
      <c r="D280" s="16">
        <f>HYPERLINK('Link Config'!$B$2&amp;"plugins/vc/tasks/run-founder-evaluation.md","Run Founder Evaluation")</f>
        <v/>
      </c>
      <c r="E280" s="15" t="inlineStr">
        <is>
          <t>Run Founder Evaluation for one venture-capital opportunity with evidence capture, human review gates, and next-action recommendations.</t>
        </is>
      </c>
      <c r="F280" s="16">
        <f>HYPERLINK('Link Config'!$B$2&amp;"plugins/vc/agents/vc-diligence-analyst.md","Diligence Analyst")</f>
        <v/>
      </c>
      <c r="G280" s="15" t="inlineStr"/>
      <c r="H280" s="16">
        <f>HYPERLINK('Link Config'!$B$2&amp;"plugins/vc/alludium/documents/shared/template-use-guidance.md","Template Use Guidance (operating_guidance)")</f>
        <v/>
      </c>
      <c r="I280" s="15" t="inlineStr">
        <is>
          <t>alludium-platform
harmonic-mcp-oauth
affinity-mcp-server
exa-mcp-hosted
brave-search-mcp
serpapi-mcp
firecrawl-mcp-hosted
dealroom-mcp</t>
        </is>
      </c>
      <c r="J280" s="15" t="inlineStr">
        <is>
          <t>run-founder-evaluation</t>
        </is>
      </c>
      <c r="K280" s="15" t="inlineStr">
        <is>
          <t>project_instance</t>
        </is>
      </c>
    </row>
    <row r="281" ht="120" customHeight="1" s="12">
      <c r="A281" s="15" t="inlineStr">
        <is>
          <t>Hunter</t>
        </is>
      </c>
      <c r="B281" s="15" t="inlineStr">
        <is>
          <t>Investment Management</t>
        </is>
      </c>
      <c r="C281" s="15" t="inlineStr">
        <is>
          <t>Formal Diligence</t>
        </is>
      </c>
      <c r="D281" s="16">
        <f>HYPERLINK('Link Config'!$B$2&amp;"plugins/vc/tasks/run-technical-dd.md","Run Technical DD")</f>
        <v/>
      </c>
      <c r="E281" s="15" t="inlineStr">
        <is>
          <t>Run Technical DD for one venture-capital opportunity with evidence capture, human review gates, and next-action recommendations.</t>
        </is>
      </c>
      <c r="F281" s="16">
        <f>HYPERLINK('Link Config'!$B$2&amp;"plugins/vc/agents/vc-diligence-analyst.md","Diligence Analyst")</f>
        <v/>
      </c>
      <c r="G281" s="16">
        <f>HYPERLINK('Link Config'!$B$2&amp;"plugins/vc/skills/team-and-hiring-assessment/SKILL.md","team-and-hiring-assessment")</f>
        <v/>
      </c>
      <c r="H281" s="16">
        <f>HYPERLINK('Link Config'!$B$2&amp;"plugins/vc/alludium/documents/deal-room/diligence-report-template.md","Diligence Report Template (output_template, to technical_dd_artifact_id)")</f>
        <v/>
      </c>
      <c r="I281" s="15" t="inlineStr">
        <is>
          <t>alludium-platform
harmonic-mcp-oauth
affinity-mcp-server
exa-mcp-hosted
brave-search-mcp
serpapi-mcp
firecrawl-mcp-hosted
dealroom-mcp</t>
        </is>
      </c>
      <c r="J281" s="15" t="inlineStr">
        <is>
          <t>run-technical-dd</t>
        </is>
      </c>
      <c r="K281" s="15" t="inlineStr">
        <is>
          <t>project_instance</t>
        </is>
      </c>
    </row>
    <row r="282" ht="120" customHeight="1" s="12">
      <c r="A282" s="15" t="inlineStr">
        <is>
          <t>Hunter</t>
        </is>
      </c>
      <c r="B282" s="15" t="inlineStr">
        <is>
          <t>Investment Management</t>
        </is>
      </c>
      <c r="C282" s="15" t="inlineStr">
        <is>
          <t>Formal Diligence</t>
        </is>
      </c>
      <c r="D282" s="16">
        <f>HYPERLINK('Link Config'!$B$2&amp;"plugins/vc/tasks/run-technical-dd.md","Run Technical DD")</f>
        <v/>
      </c>
      <c r="E282" s="15" t="inlineStr">
        <is>
          <t>Run Technical DD for one venture-capital opportunity with evidence capture, human review gates, and next-action recommendations.</t>
        </is>
      </c>
      <c r="F282" s="16">
        <f>HYPERLINK('Link Config'!$B$2&amp;"plugins/vc/agents/vc-diligence-analyst.md","Diligence Analyst")</f>
        <v/>
      </c>
      <c r="G282" s="16">
        <f>HYPERLINK('Link Config'!$B$2&amp;"plugins/vc/skills/red-flags-scanner/SKILL.md","red-flags-scanner")</f>
        <v/>
      </c>
      <c r="H282" s="16">
        <f>HYPERLINK('Link Config'!$B$2&amp;"plugins/vc/alludium/documents/deal-room/formal-diligence-workstream-guide.md","Formal Diligence Workstream Guide (methodology)")</f>
        <v/>
      </c>
      <c r="I282" s="15" t="inlineStr">
        <is>
          <t>alludium-platform
harmonic-mcp-oauth
affinity-mcp-server
exa-mcp-hosted
brave-search-mcp
serpapi-mcp
firecrawl-mcp-hosted
dealroom-mcp</t>
        </is>
      </c>
      <c r="J282" s="15" t="inlineStr">
        <is>
          <t>run-technical-dd</t>
        </is>
      </c>
      <c r="K282" s="15" t="inlineStr">
        <is>
          <t>project_instance</t>
        </is>
      </c>
    </row>
    <row r="283" ht="120" customHeight="1" s="12">
      <c r="A283" s="15" t="inlineStr">
        <is>
          <t>Hunter</t>
        </is>
      </c>
      <c r="B283" s="15" t="inlineStr">
        <is>
          <t>Investment Management</t>
        </is>
      </c>
      <c r="C283" s="15" t="inlineStr">
        <is>
          <t>Formal Diligence</t>
        </is>
      </c>
      <c r="D283" s="16">
        <f>HYPERLINK('Link Config'!$B$2&amp;"plugins/vc/tasks/run-technical-dd.md","Run Technical DD")</f>
        <v/>
      </c>
      <c r="E283" s="15" t="inlineStr">
        <is>
          <t>Run Technical DD for one venture-capital opportunity with evidence capture, human review gates, and next-action recommendations.</t>
        </is>
      </c>
      <c r="F283" s="16">
        <f>HYPERLINK('Link Config'!$B$2&amp;"plugins/vc/agents/vc-diligence-analyst.md","Diligence Analyst")</f>
        <v/>
      </c>
      <c r="G283" s="16">
        <f>HYPERLINK('Link Config'!$B$2&amp;"plugins/vc/skills/citation-enforcement/SKILL.md","citation-enforcement")</f>
        <v/>
      </c>
      <c r="H283" s="16">
        <f>HYPERLINK('Link Config'!$B$2&amp;"plugins/vc/alludium/documents/deal-room/formal-diligence-checklist.md","Formal Diligence Checklist (checklist)")</f>
        <v/>
      </c>
      <c r="I283" s="15" t="inlineStr">
        <is>
          <t>alludium-platform
harmonic-mcp-oauth
affinity-mcp-server
exa-mcp-hosted
brave-search-mcp
serpapi-mcp
firecrawl-mcp-hosted
dealroom-mcp</t>
        </is>
      </c>
      <c r="J283" s="15" t="inlineStr">
        <is>
          <t>run-technical-dd</t>
        </is>
      </c>
      <c r="K283" s="15" t="inlineStr">
        <is>
          <t>project_instance</t>
        </is>
      </c>
    </row>
    <row r="284" ht="120" customHeight="1" s="12">
      <c r="A284" s="15" t="inlineStr">
        <is>
          <t>Hunter</t>
        </is>
      </c>
      <c r="B284" s="15" t="inlineStr">
        <is>
          <t>Investment Management</t>
        </is>
      </c>
      <c r="C284" s="15" t="inlineStr">
        <is>
          <t>Formal Diligence</t>
        </is>
      </c>
      <c r="D284" s="16">
        <f>HYPERLINK('Link Config'!$B$2&amp;"plugins/vc/tasks/run-technical-dd.md","Run Technical DD")</f>
        <v/>
      </c>
      <c r="E284" s="15" t="inlineStr">
        <is>
          <t>Run Technical DD for one venture-capital opportunity with evidence capture, human review gates, and next-action recommendations.</t>
        </is>
      </c>
      <c r="F284" s="16">
        <f>HYPERLINK('Link Config'!$B$2&amp;"plugins/vc/agents/vc-diligence-analyst.md","Diligence Analyst")</f>
        <v/>
      </c>
      <c r="G284" s="16">
        <f>HYPERLINK('Link Config'!$B$2&amp;"plugins/vc/skills/technical-diligence-workstream/SKILL.md","technical-diligence-workstream")</f>
        <v/>
      </c>
      <c r="H284" s="16">
        <f>HYPERLINK('Link Config'!$B$2&amp;"plugins/vc/alludium/documents/shared/evidence-citation-style-guide.md","Evidence And Citation Style Guide (style_guide)")</f>
        <v/>
      </c>
      <c r="I284" s="15" t="inlineStr">
        <is>
          <t>alludium-platform
harmonic-mcp-oauth
affinity-mcp-server
exa-mcp-hosted
brave-search-mcp
serpapi-mcp
firecrawl-mcp-hosted
dealroom-mcp</t>
        </is>
      </c>
      <c r="J284" s="15" t="inlineStr">
        <is>
          <t>run-technical-dd</t>
        </is>
      </c>
      <c r="K284" s="15" t="inlineStr">
        <is>
          <t>project_instance</t>
        </is>
      </c>
    </row>
    <row r="285" ht="120" customHeight="1" s="12">
      <c r="A285" s="15" t="inlineStr">
        <is>
          <t>Hunter</t>
        </is>
      </c>
      <c r="B285" s="15" t="inlineStr">
        <is>
          <t>Investment Management</t>
        </is>
      </c>
      <c r="C285" s="15" t="inlineStr">
        <is>
          <t>Formal Diligence</t>
        </is>
      </c>
      <c r="D285" s="16">
        <f>HYPERLINK('Link Config'!$B$2&amp;"plugins/vc/tasks/run-technical-dd.md","Run Technical DD")</f>
        <v/>
      </c>
      <c r="E285" s="15" t="inlineStr">
        <is>
          <t>Run Technical DD for one venture-capital opportunity with evidence capture, human review gates, and next-action recommendations.</t>
        </is>
      </c>
      <c r="F285" s="16">
        <f>HYPERLINK('Link Config'!$B$2&amp;"plugins/vc/agents/vc-diligence-analyst.md","Diligence Analyst")</f>
        <v/>
      </c>
      <c r="G285" s="15" t="inlineStr"/>
      <c r="H285" s="16">
        <f>HYPERLINK('Link Config'!$B$2&amp;"plugins/vc/alludium/documents/shared/template-use-guidance.md","Template Use Guidance (operating_guidance)")</f>
        <v/>
      </c>
      <c r="I285" s="15" t="inlineStr">
        <is>
          <t>alludium-platform
harmonic-mcp-oauth
affinity-mcp-server
exa-mcp-hosted
brave-search-mcp
serpapi-mcp
firecrawl-mcp-hosted
dealroom-mcp</t>
        </is>
      </c>
      <c r="J285" s="15" t="inlineStr">
        <is>
          <t>run-technical-dd</t>
        </is>
      </c>
      <c r="K285" s="15" t="inlineStr">
        <is>
          <t>project_instance</t>
        </is>
      </c>
    </row>
    <row r="286" ht="90" customHeight="1" s="12">
      <c r="A286" s="15" t="inlineStr"/>
      <c r="B286" s="15" t="inlineStr">
        <is>
          <t>Investment Management</t>
        </is>
      </c>
      <c r="C286" s="15" t="inlineStr">
        <is>
          <t>Formal Diligence</t>
        </is>
      </c>
      <c r="D286" s="16">
        <f>HYPERLINK('Link Config'!$B$2&amp;"plugins/vc/tasks/run-legal-diligence.md","Run Legal Diligence")</f>
        <v/>
      </c>
      <c r="E286" s="15" t="inlineStr">
        <is>
          <t>Coordinate legal diligence document indexing, issue tracking, counsel questions, and showstopper-risk review support without providing legal advice.</t>
        </is>
      </c>
      <c r="F286" s="16">
        <f>HYPERLINK('Link Config'!$B$2&amp;"plugins/vc/agents/vc-legal-compliance-desk.md","Legal &amp; Compliance Desk")</f>
        <v/>
      </c>
      <c r="G286" s="16">
        <f>HYPERLINK('Link Config'!$B$2&amp;"plugins/vc/skills/legal-diligence-coordination/SKILL.md","legal-diligence-coordination")</f>
        <v/>
      </c>
      <c r="H286" s="16">
        <f>HYPERLINK('Link Config'!$B$2&amp;"plugins/vc/alludium/documents/deal-room/legal-diligence-tracker-template.md","Legal Diligence Tracker Template (output_template, to legal_diligence_artifact_id)")</f>
        <v/>
      </c>
      <c r="I286" s="15" t="inlineStr">
        <is>
          <t>alludium-platform
affinity-mcp-server
exa-mcp-hosted
brave-search-mcp
dealroom-mcp
google_drive</t>
        </is>
      </c>
      <c r="J286" s="15" t="inlineStr">
        <is>
          <t>run-legal-diligence</t>
        </is>
      </c>
      <c r="K286" s="15" t="inlineStr">
        <is>
          <t>project_instance</t>
        </is>
      </c>
    </row>
    <row r="287" ht="90" customHeight="1" s="12">
      <c r="A287" s="15" t="inlineStr"/>
      <c r="B287" s="15" t="inlineStr">
        <is>
          <t>Investment Management</t>
        </is>
      </c>
      <c r="C287" s="15" t="inlineStr">
        <is>
          <t>Formal Diligence</t>
        </is>
      </c>
      <c r="D287" s="16">
        <f>HYPERLINK('Link Config'!$B$2&amp;"plugins/vc/tasks/run-legal-diligence.md","Run Legal Diligence")</f>
        <v/>
      </c>
      <c r="E287" s="15" t="inlineStr">
        <is>
          <t>Coordinate legal diligence document indexing, issue tracking, counsel questions, and showstopper-risk review support without providing legal advice.</t>
        </is>
      </c>
      <c r="F287" s="16">
        <f>HYPERLINK('Link Config'!$B$2&amp;"plugins/vc/agents/vc-legal-compliance-desk.md","Legal &amp; Compliance Desk")</f>
        <v/>
      </c>
      <c r="G287" s="16">
        <f>HYPERLINK('Link Config'!$B$2&amp;"plugins/vc/skills/red-flags-scanner/SKILL.md","red-flags-scanner")</f>
        <v/>
      </c>
      <c r="H287" s="16">
        <f>HYPERLINK('Link Config'!$B$2&amp;"plugins/vc/alludium/documents/deal-room/legal-diligence-guide.md","Legal Diligence Guide (methodology)")</f>
        <v/>
      </c>
      <c r="I287" s="15" t="inlineStr">
        <is>
          <t>alludium-platform
affinity-mcp-server
exa-mcp-hosted
brave-search-mcp
dealroom-mcp
google_drive</t>
        </is>
      </c>
      <c r="J287" s="15" t="inlineStr">
        <is>
          <t>run-legal-diligence</t>
        </is>
      </c>
      <c r="K287" s="15" t="inlineStr">
        <is>
          <t>project_instance</t>
        </is>
      </c>
    </row>
    <row r="288" ht="90" customHeight="1" s="12">
      <c r="A288" s="15" t="inlineStr"/>
      <c r="B288" s="15" t="inlineStr">
        <is>
          <t>Investment Management</t>
        </is>
      </c>
      <c r="C288" s="15" t="inlineStr">
        <is>
          <t>Formal Diligence</t>
        </is>
      </c>
      <c r="D288" s="16">
        <f>HYPERLINK('Link Config'!$B$2&amp;"plugins/vc/tasks/run-legal-diligence.md","Run Legal Diligence")</f>
        <v/>
      </c>
      <c r="E288" s="15" t="inlineStr">
        <is>
          <t>Coordinate legal diligence document indexing, issue tracking, counsel questions, and showstopper-risk review support without providing legal advice.</t>
        </is>
      </c>
      <c r="F288" s="16">
        <f>HYPERLINK('Link Config'!$B$2&amp;"plugins/vc/agents/vc-legal-compliance-desk.md","Legal &amp; Compliance Desk")</f>
        <v/>
      </c>
      <c r="G288" s="16">
        <f>HYPERLINK('Link Config'!$B$2&amp;"plugins/vc/skills/citation-enforcement/SKILL.md","citation-enforcement")</f>
        <v/>
      </c>
      <c r="H288" s="16">
        <f>HYPERLINK('Link Config'!$B$2&amp;"plugins/vc/alludium/documents/deal-room/formal-diligence-workstream-guide.md","Formal Diligence Workstream Guide (methodology)")</f>
        <v/>
      </c>
      <c r="I288" s="15" t="inlineStr">
        <is>
          <t>alludium-platform
affinity-mcp-server
exa-mcp-hosted
brave-search-mcp
dealroom-mcp
google_drive</t>
        </is>
      </c>
      <c r="J288" s="15" t="inlineStr">
        <is>
          <t>run-legal-diligence</t>
        </is>
      </c>
      <c r="K288" s="15" t="inlineStr">
        <is>
          <t>project_instance</t>
        </is>
      </c>
    </row>
    <row r="289" ht="90" customHeight="1" s="12">
      <c r="A289" s="15" t="inlineStr"/>
      <c r="B289" s="15" t="inlineStr">
        <is>
          <t>Investment Management</t>
        </is>
      </c>
      <c r="C289" s="15" t="inlineStr">
        <is>
          <t>Formal Diligence</t>
        </is>
      </c>
      <c r="D289" s="16">
        <f>HYPERLINK('Link Config'!$B$2&amp;"plugins/vc/tasks/run-legal-diligence.md","Run Legal Diligence")</f>
        <v/>
      </c>
      <c r="E289" s="15" t="inlineStr">
        <is>
          <t>Coordinate legal diligence document indexing, issue tracking, counsel questions, and showstopper-risk review support without providing legal advice.</t>
        </is>
      </c>
      <c r="F289" s="16">
        <f>HYPERLINK('Link Config'!$B$2&amp;"plugins/vc/agents/vc-legal-compliance-desk.md","Legal &amp; Compliance Desk")</f>
        <v/>
      </c>
      <c r="G289" s="15" t="inlineStr"/>
      <c r="H289" s="16">
        <f>HYPERLINK('Link Config'!$B$2&amp;"plugins/vc/alludium/documents/deal-room/formal-diligence-checklist.md","Formal Diligence Checklist (checklist)")</f>
        <v/>
      </c>
      <c r="I289" s="15" t="inlineStr">
        <is>
          <t>alludium-platform
affinity-mcp-server
exa-mcp-hosted
brave-search-mcp
dealroom-mcp
google_drive</t>
        </is>
      </c>
      <c r="J289" s="15" t="inlineStr">
        <is>
          <t>run-legal-diligence</t>
        </is>
      </c>
      <c r="K289" s="15" t="inlineStr">
        <is>
          <t>project_instance</t>
        </is>
      </c>
    </row>
    <row r="290" ht="90" customHeight="1" s="12">
      <c r="A290" s="15" t="inlineStr"/>
      <c r="B290" s="15" t="inlineStr">
        <is>
          <t>Investment Management</t>
        </is>
      </c>
      <c r="C290" s="15" t="inlineStr">
        <is>
          <t>Formal Diligence</t>
        </is>
      </c>
      <c r="D290" s="16">
        <f>HYPERLINK('Link Config'!$B$2&amp;"plugins/vc/tasks/run-legal-diligence.md","Run Legal Diligence")</f>
        <v/>
      </c>
      <c r="E290" s="15" t="inlineStr">
        <is>
          <t>Coordinate legal diligence document indexing, issue tracking, counsel questions, and showstopper-risk review support without providing legal advice.</t>
        </is>
      </c>
      <c r="F290" s="16">
        <f>HYPERLINK('Link Config'!$B$2&amp;"plugins/vc/agents/vc-legal-compliance-desk.md","Legal &amp; Compliance Desk")</f>
        <v/>
      </c>
      <c r="G290" s="15" t="inlineStr"/>
      <c r="H290" s="16">
        <f>HYPERLINK('Link Config'!$B$2&amp;"plugins/vc/alludium/documents/shared/evidence-citation-style-guide.md","Evidence And Citation Style Guide (style_guide)")</f>
        <v/>
      </c>
      <c r="I290" s="15" t="inlineStr">
        <is>
          <t>alludium-platform
affinity-mcp-server
exa-mcp-hosted
brave-search-mcp
dealroom-mcp
google_drive</t>
        </is>
      </c>
      <c r="J290" s="15" t="inlineStr">
        <is>
          <t>run-legal-diligence</t>
        </is>
      </c>
      <c r="K290" s="15" t="inlineStr">
        <is>
          <t>project_instance</t>
        </is>
      </c>
    </row>
    <row r="291" ht="90" customHeight="1" s="12">
      <c r="A291" s="15" t="inlineStr"/>
      <c r="B291" s="15" t="inlineStr">
        <is>
          <t>Investment Management</t>
        </is>
      </c>
      <c r="C291" s="15" t="inlineStr">
        <is>
          <t>Formal Diligence</t>
        </is>
      </c>
      <c r="D291" s="16">
        <f>HYPERLINK('Link Config'!$B$2&amp;"plugins/vc/tasks/run-legal-diligence.md","Run Legal Diligence")</f>
        <v/>
      </c>
      <c r="E291" s="15" t="inlineStr">
        <is>
          <t>Coordinate legal diligence document indexing, issue tracking, counsel questions, and showstopper-risk review support without providing legal advice.</t>
        </is>
      </c>
      <c r="F291" s="16">
        <f>HYPERLINK('Link Config'!$B$2&amp;"plugins/vc/agents/vc-legal-compliance-desk.md","Legal &amp; Compliance Desk")</f>
        <v/>
      </c>
      <c r="G291" s="15" t="inlineStr"/>
      <c r="H291" s="16">
        <f>HYPERLINK('Link Config'!$B$2&amp;"plugins/vc/alludium/documents/shared/template-use-guidance.md","Template Use Guidance (operating_guidance)")</f>
        <v/>
      </c>
      <c r="I291" s="15" t="inlineStr">
        <is>
          <t>alludium-platform
affinity-mcp-server
exa-mcp-hosted
brave-search-mcp
dealroom-mcp
google_drive</t>
        </is>
      </c>
      <c r="J291" s="15" t="inlineStr">
        <is>
          <t>run-legal-diligence</t>
        </is>
      </c>
      <c r="K291" s="15" t="inlineStr">
        <is>
          <t>project_instance</t>
        </is>
      </c>
    </row>
    <row r="292" ht="90" customHeight="1" s="12">
      <c r="A292" s="15" t="inlineStr"/>
      <c r="B292" s="15" t="inlineStr">
        <is>
          <t>Investment Management</t>
        </is>
      </c>
      <c r="C292" s="15" t="inlineStr">
        <is>
          <t>Contracts</t>
        </is>
      </c>
      <c r="D292" s="16">
        <f>HYPERLINK('Link Config'!$B$2&amp;"plugins/vc/tasks/review-investment-documents.md","Review Investment Documents")</f>
        <v/>
      </c>
      <c r="E292" s="15" t="inlineStr">
        <is>
          <t>Coordinate post-term-sheet investment document review, disclosure-letter issues, counsel questions, and closing readiness notes without providing legal advice.</t>
        </is>
      </c>
      <c r="F292" s="16">
        <f>HYPERLINK('Link Config'!$B$2&amp;"plugins/vc/agents/vc-legal-compliance-desk.md","Legal &amp; Compliance Desk")</f>
        <v/>
      </c>
      <c r="G292" s="16">
        <f>HYPERLINK('Link Config'!$B$2&amp;"plugins/vc/skills/legal-diligence-coordination/SKILL.md","legal-diligence-coordination")</f>
        <v/>
      </c>
      <c r="H292" s="16">
        <f>HYPERLINK('Link Config'!$B$2&amp;"plugins/vc/alludium/documents/deal-room/investment-document-review-template.md","Investment Document Review Template (output_template, to investment_document_review_artifact_id)")</f>
        <v/>
      </c>
      <c r="I292" s="15" t="inlineStr">
        <is>
          <t>alludium-platform
affinity-mcp-server
exa-mcp-hosted
brave-search-mcp
dealroom-mcp
google_drive</t>
        </is>
      </c>
      <c r="J292" s="15" t="inlineStr">
        <is>
          <t>review-investment-documents</t>
        </is>
      </c>
      <c r="K292" s="15" t="inlineStr">
        <is>
          <t>project_instance</t>
        </is>
      </c>
    </row>
    <row r="293" ht="90" customHeight="1" s="12">
      <c r="A293" s="15" t="inlineStr"/>
      <c r="B293" s="15" t="inlineStr">
        <is>
          <t>Investment Management</t>
        </is>
      </c>
      <c r="C293" s="15" t="inlineStr">
        <is>
          <t>Contracts</t>
        </is>
      </c>
      <c r="D293" s="16">
        <f>HYPERLINK('Link Config'!$B$2&amp;"plugins/vc/tasks/review-investment-documents.md","Review Investment Documents")</f>
        <v/>
      </c>
      <c r="E293" s="15" t="inlineStr">
        <is>
          <t>Coordinate post-term-sheet investment document review, disclosure-letter issues, counsel questions, and closing readiness notes without providing legal advice.</t>
        </is>
      </c>
      <c r="F293" s="16">
        <f>HYPERLINK('Link Config'!$B$2&amp;"plugins/vc/agents/vc-legal-compliance-desk.md","Legal &amp; Compliance Desk")</f>
        <v/>
      </c>
      <c r="G293" s="16">
        <f>HYPERLINK('Link Config'!$B$2&amp;"plugins/vc/skills/closing-coordination-and-cp-tracking/SKILL.md","closing-coordination-and-cp-tracking")</f>
        <v/>
      </c>
      <c r="H293" s="16">
        <f>HYPERLINK('Link Config'!$B$2&amp;"plugins/vc/alludium/documents/deal-room/legal-diligence-guide.md","Legal Diligence Guide (methodology)")</f>
        <v/>
      </c>
      <c r="I293" s="15" t="inlineStr">
        <is>
          <t>alludium-platform
affinity-mcp-server
exa-mcp-hosted
brave-search-mcp
dealroom-mcp
google_drive</t>
        </is>
      </c>
      <c r="J293" s="15" t="inlineStr">
        <is>
          <t>review-investment-documents</t>
        </is>
      </c>
      <c r="K293" s="15" t="inlineStr">
        <is>
          <t>project_instance</t>
        </is>
      </c>
    </row>
    <row r="294" ht="90" customHeight="1" s="12">
      <c r="A294" s="15" t="inlineStr"/>
      <c r="B294" s="15" t="inlineStr">
        <is>
          <t>Investment Management</t>
        </is>
      </c>
      <c r="C294" s="15" t="inlineStr">
        <is>
          <t>Contracts</t>
        </is>
      </c>
      <c r="D294" s="16">
        <f>HYPERLINK('Link Config'!$B$2&amp;"plugins/vc/tasks/review-investment-documents.md","Review Investment Documents")</f>
        <v/>
      </c>
      <c r="E294" s="15" t="inlineStr">
        <is>
          <t>Coordinate post-term-sheet investment document review, disclosure-letter issues, counsel questions, and closing readiness notes without providing legal advice.</t>
        </is>
      </c>
      <c r="F294" s="16">
        <f>HYPERLINK('Link Config'!$B$2&amp;"plugins/vc/agents/vc-legal-compliance-desk.md","Legal &amp; Compliance Desk")</f>
        <v/>
      </c>
      <c r="G294" s="16">
        <f>HYPERLINK('Link Config'!$B$2&amp;"plugins/vc/skills/citation-enforcement/SKILL.md","citation-enforcement")</f>
        <v/>
      </c>
      <c r="H294" s="16">
        <f>HYPERLINK('Link Config'!$B$2&amp;"plugins/vc/alludium/documents/shared/evidence-citation-style-guide.md","Evidence And Citation Style Guide (style_guide)")</f>
        <v/>
      </c>
      <c r="I294" s="15" t="inlineStr">
        <is>
          <t>alludium-platform
affinity-mcp-server
exa-mcp-hosted
brave-search-mcp
dealroom-mcp
google_drive</t>
        </is>
      </c>
      <c r="J294" s="15" t="inlineStr">
        <is>
          <t>review-investment-documents</t>
        </is>
      </c>
      <c r="K294" s="15" t="inlineStr">
        <is>
          <t>project_instance</t>
        </is>
      </c>
    </row>
    <row r="295" ht="90" customHeight="1" s="12">
      <c r="A295" s="15" t="inlineStr"/>
      <c r="B295" s="15" t="inlineStr">
        <is>
          <t>Investment Management</t>
        </is>
      </c>
      <c r="C295" s="15" t="inlineStr">
        <is>
          <t>Contracts</t>
        </is>
      </c>
      <c r="D295" s="16">
        <f>HYPERLINK('Link Config'!$B$2&amp;"plugins/vc/tasks/review-investment-documents.md","Review Investment Documents")</f>
        <v/>
      </c>
      <c r="E295" s="15" t="inlineStr">
        <is>
          <t>Coordinate post-term-sheet investment document review, disclosure-letter issues, counsel questions, and closing readiness notes without providing legal advice.</t>
        </is>
      </c>
      <c r="F295" s="16">
        <f>HYPERLINK('Link Config'!$B$2&amp;"plugins/vc/agents/vc-legal-compliance-desk.md","Legal &amp; Compliance Desk")</f>
        <v/>
      </c>
      <c r="G295" s="15" t="inlineStr"/>
      <c r="H295" s="16">
        <f>HYPERLINK('Link Config'!$B$2&amp;"plugins/vc/alludium/documents/shared/template-use-guidance.md","Template Use Guidance (operating_guidance)")</f>
        <v/>
      </c>
      <c r="I295" s="15" t="inlineStr">
        <is>
          <t>alludium-platform
affinity-mcp-server
exa-mcp-hosted
brave-search-mcp
dealroom-mcp
google_drive</t>
        </is>
      </c>
      <c r="J295" s="15" t="inlineStr">
        <is>
          <t>review-investment-documents</t>
        </is>
      </c>
      <c r="K295" s="15" t="inlineStr">
        <is>
          <t>project_instance</t>
        </is>
      </c>
    </row>
    <row r="296" ht="90" customHeight="1" s="12">
      <c r="A296" s="15" t="inlineStr"/>
      <c r="B296" s="15" t="inlineStr">
        <is>
          <t>Investment Management</t>
        </is>
      </c>
      <c r="C296" s="15" t="inlineStr">
        <is>
          <t>Closing</t>
        </is>
      </c>
      <c r="D296" s="16">
        <f>HYPERLINK('Link Config'!$B$2&amp;"plugins/vc/tasks/manage-closing-checklist.md","Manage Closing Checklist")</f>
        <v/>
      </c>
      <c r="E296" s="15" t="inlineStr">
        <is>
          <t>Manage Closing Checklist for one venture-capital opportunity with evidence capture, human review gates, and next-action recommendations.</t>
        </is>
      </c>
      <c r="F296" s="16">
        <f>HYPERLINK('Link Config'!$B$2&amp;"plugins/vc/agents/vc-legal-compliance-desk.md","Legal &amp; Compliance Desk")</f>
        <v/>
      </c>
      <c r="G296" s="16">
        <f>HYPERLINK('Link Config'!$B$2&amp;"plugins/vc/skills/citation-enforcement/SKILL.md","citation-enforcement")</f>
        <v/>
      </c>
      <c r="H296" s="16">
        <f>HYPERLINK('Link Config'!$B$2&amp;"plugins/vc/alludium/documents/deal-room/closing-checklist.md","Closing Checklist (output_template, to closing_checklist_artifact_id)")</f>
        <v/>
      </c>
      <c r="I296" s="15" t="inlineStr">
        <is>
          <t>alludium-platform
affinity-mcp-server
exa-mcp-hosted
brave-search-mcp
dealroom-mcp
google_drive</t>
        </is>
      </c>
      <c r="J296" s="15" t="inlineStr">
        <is>
          <t>manage-closing-checklist</t>
        </is>
      </c>
      <c r="K296" s="15" t="inlineStr">
        <is>
          <t>project_instance</t>
        </is>
      </c>
    </row>
    <row r="297" ht="90" customHeight="1" s="12">
      <c r="A297" s="15" t="inlineStr"/>
      <c r="B297" s="15" t="inlineStr">
        <is>
          <t>Investment Management</t>
        </is>
      </c>
      <c r="C297" s="15" t="inlineStr">
        <is>
          <t>Closing</t>
        </is>
      </c>
      <c r="D297" s="16">
        <f>HYPERLINK('Link Config'!$B$2&amp;"plugins/vc/tasks/manage-closing-checklist.md","Manage Closing Checklist")</f>
        <v/>
      </c>
      <c r="E297" s="15" t="inlineStr">
        <is>
          <t>Manage Closing Checklist for one venture-capital opportunity with evidence capture, human review gates, and next-action recommendations.</t>
        </is>
      </c>
      <c r="F297" s="16">
        <f>HYPERLINK('Link Config'!$B$2&amp;"plugins/vc/agents/vc-legal-compliance-desk.md","Legal &amp; Compliance Desk")</f>
        <v/>
      </c>
      <c r="G297" s="16">
        <f>HYPERLINK('Link Config'!$B$2&amp;"plugins/vc/skills/closing-coordination-and-cp-tracking/SKILL.md","closing-coordination-and-cp-tracking")</f>
        <v/>
      </c>
      <c r="H297" s="16">
        <f>HYPERLINK('Link Config'!$B$2&amp;"plugins/vc/alludium/documents/deal-room/legal-diligence-guide.md","Legal Diligence Guide (methodology)")</f>
        <v/>
      </c>
      <c r="I297" s="15" t="inlineStr">
        <is>
          <t>alludium-platform
affinity-mcp-server
exa-mcp-hosted
brave-search-mcp
dealroom-mcp
google_drive</t>
        </is>
      </c>
      <c r="J297" s="15" t="inlineStr">
        <is>
          <t>manage-closing-checklist</t>
        </is>
      </c>
      <c r="K297" s="15" t="inlineStr">
        <is>
          <t>project_instance</t>
        </is>
      </c>
    </row>
    <row r="298" ht="90" customHeight="1" s="12">
      <c r="A298" s="15" t="inlineStr"/>
      <c r="B298" s="15" t="inlineStr">
        <is>
          <t>Investment Management</t>
        </is>
      </c>
      <c r="C298" s="15" t="inlineStr">
        <is>
          <t>Closing</t>
        </is>
      </c>
      <c r="D298" s="16">
        <f>HYPERLINK('Link Config'!$B$2&amp;"plugins/vc/tasks/manage-closing-checklist.md","Manage Closing Checklist")</f>
        <v/>
      </c>
      <c r="E298" s="15" t="inlineStr">
        <is>
          <t>Manage Closing Checklist for one venture-capital opportunity with evidence capture, human review gates, and next-action recommendations.</t>
        </is>
      </c>
      <c r="F298" s="16">
        <f>HYPERLINK('Link Config'!$B$2&amp;"plugins/vc/agents/vc-legal-compliance-desk.md","Legal &amp; Compliance Desk")</f>
        <v/>
      </c>
      <c r="G298" s="16">
        <f>HYPERLINK('Link Config'!$B$2&amp;"plugins/vc/skills/vc-task-and-next-step-generation/SKILL.md","vc-task-and-next-step-generation")</f>
        <v/>
      </c>
      <c r="H298" s="16">
        <f>HYPERLINK('Link Config'!$B$2&amp;"plugins/vc/alludium/documents/shared/template-use-guidance.md","Template Use Guidance (operating_guidance)")</f>
        <v/>
      </c>
      <c r="I298" s="15" t="inlineStr">
        <is>
          <t>alludium-platform
affinity-mcp-server
exa-mcp-hosted
brave-search-mcp
dealroom-mcp
google_drive</t>
        </is>
      </c>
      <c r="J298" s="15" t="inlineStr">
        <is>
          <t>manage-closing-checklist</t>
        </is>
      </c>
      <c r="K298" s="15" t="inlineStr">
        <is>
          <t>project_instance</t>
        </is>
      </c>
    </row>
    <row r="299" ht="90" customHeight="1" s="12">
      <c r="A299" s="15" t="inlineStr"/>
      <c r="B299" s="15" t="inlineStr">
        <is>
          <t>Investment Management</t>
        </is>
      </c>
      <c r="C299" s="15" t="inlineStr">
        <is>
          <t>Closing</t>
        </is>
      </c>
      <c r="D299" s="16">
        <f>HYPERLINK('Link Config'!$B$2&amp;"plugins/vc/tasks/verify-conditions-precedent.md","Verify Conditions Precedent")</f>
        <v/>
      </c>
      <c r="E299" s="15" t="inlineStr">
        <is>
          <t>Verify Conditions Precedent for one venture-capital opportunity with evidence capture, human review gates, and next-action recommendations.</t>
        </is>
      </c>
      <c r="F299" s="16">
        <f>HYPERLINK('Link Config'!$B$2&amp;"plugins/vc/agents/vc-legal-compliance-desk.md","Legal &amp; Compliance Desk")</f>
        <v/>
      </c>
      <c r="G299" s="16">
        <f>HYPERLINK('Link Config'!$B$2&amp;"plugins/vc/skills/citation-enforcement/SKILL.md","citation-enforcement")</f>
        <v/>
      </c>
      <c r="H299" s="16">
        <f>HYPERLINK('Link Config'!$B$2&amp;"plugins/vc/alludium/documents/deal-room/conditions-precedent-tracker-template.md","Conditions Precedent Tracker Template (output_template, to conditions_precedent_verification_artifact_id)")</f>
        <v/>
      </c>
      <c r="I299" s="15" t="inlineStr">
        <is>
          <t>alludium-platform
affinity-mcp-server
exa-mcp-hosted
brave-search-mcp
dealroom-mcp
google_drive</t>
        </is>
      </c>
      <c r="J299" s="15" t="inlineStr">
        <is>
          <t>verify-conditions-precedent</t>
        </is>
      </c>
      <c r="K299" s="15" t="inlineStr">
        <is>
          <t>project_instance</t>
        </is>
      </c>
    </row>
    <row r="300" ht="90" customHeight="1" s="12">
      <c r="A300" s="15" t="inlineStr"/>
      <c r="B300" s="15" t="inlineStr">
        <is>
          <t>Investment Management</t>
        </is>
      </c>
      <c r="C300" s="15" t="inlineStr">
        <is>
          <t>Closing</t>
        </is>
      </c>
      <c r="D300" s="16">
        <f>HYPERLINK('Link Config'!$B$2&amp;"plugins/vc/tasks/verify-conditions-precedent.md","Verify Conditions Precedent")</f>
        <v/>
      </c>
      <c r="E300" s="15" t="inlineStr">
        <is>
          <t>Verify Conditions Precedent for one venture-capital opportunity with evidence capture, human review gates, and next-action recommendations.</t>
        </is>
      </c>
      <c r="F300" s="16">
        <f>HYPERLINK('Link Config'!$B$2&amp;"plugins/vc/agents/vc-legal-compliance-desk.md","Legal &amp; Compliance Desk")</f>
        <v/>
      </c>
      <c r="G300" s="16">
        <f>HYPERLINK('Link Config'!$B$2&amp;"plugins/vc/skills/closing-coordination-and-cp-tracking/SKILL.md","closing-coordination-and-cp-tracking")</f>
        <v/>
      </c>
      <c r="H300" s="16">
        <f>HYPERLINK('Link Config'!$B$2&amp;"plugins/vc/alludium/documents/deal-room/legal-diligence-guide.md","Legal Diligence Guide (methodology)")</f>
        <v/>
      </c>
      <c r="I300" s="15" t="inlineStr">
        <is>
          <t>alludium-platform
affinity-mcp-server
exa-mcp-hosted
brave-search-mcp
dealroom-mcp
google_drive</t>
        </is>
      </c>
      <c r="J300" s="15" t="inlineStr">
        <is>
          <t>verify-conditions-precedent</t>
        </is>
      </c>
      <c r="K300" s="15" t="inlineStr">
        <is>
          <t>project_instance</t>
        </is>
      </c>
    </row>
    <row r="301" ht="90" customHeight="1" s="12">
      <c r="A301" s="15" t="inlineStr"/>
      <c r="B301" s="15" t="inlineStr">
        <is>
          <t>Investment Management</t>
        </is>
      </c>
      <c r="C301" s="15" t="inlineStr">
        <is>
          <t>Closing</t>
        </is>
      </c>
      <c r="D301" s="16">
        <f>HYPERLINK('Link Config'!$B$2&amp;"plugins/vc/tasks/verify-conditions-precedent.md","Verify Conditions Precedent")</f>
        <v/>
      </c>
      <c r="E301" s="15" t="inlineStr">
        <is>
          <t>Verify Conditions Precedent for one venture-capital opportunity with evidence capture, human review gates, and next-action recommendations.</t>
        </is>
      </c>
      <c r="F301" s="16">
        <f>HYPERLINK('Link Config'!$B$2&amp;"plugins/vc/agents/vc-legal-compliance-desk.md","Legal &amp; Compliance Desk")</f>
        <v/>
      </c>
      <c r="G301" s="15" t="inlineStr"/>
      <c r="H301" s="16">
        <f>HYPERLINK('Link Config'!$B$2&amp;"plugins/vc/alludium/documents/shared/template-use-guidance.md","Template Use Guidance (operating_guidance)")</f>
        <v/>
      </c>
      <c r="I301" s="15" t="inlineStr">
        <is>
          <t>alludium-platform
affinity-mcp-server
exa-mcp-hosted
brave-search-mcp
dealroom-mcp
google_drive</t>
        </is>
      </c>
      <c r="J301" s="15" t="inlineStr">
        <is>
          <t>verify-conditions-precedent</t>
        </is>
      </c>
      <c r="K301" s="15" t="inlineStr">
        <is>
          <t>project_instance</t>
        </is>
      </c>
    </row>
    <row r="302" ht="90" customHeight="1" s="12">
      <c r="A302" s="15" t="inlineStr"/>
      <c r="B302" s="15" t="inlineStr">
        <is>
          <t>Investment Management</t>
        </is>
      </c>
      <c r="C302" s="15" t="inlineStr">
        <is>
          <t>Closing</t>
        </is>
      </c>
      <c r="D302" s="16">
        <f>HYPERLINK('Link Config'!$B$2&amp;"plugins/vc/tasks/coordinate-capital-call-and-completion.md","Coordinate Capital Call And Completion")</f>
        <v/>
      </c>
      <c r="E302" s="15" t="inlineStr">
        <is>
          <t>Track final closing administration, capital call status, funds transfer readiness, share-certificate receipt, and portfolio handoff triggers without initiating banking or legal completion actions.</t>
        </is>
      </c>
      <c r="F302" s="16">
        <f>HYPERLINK('Link Config'!$B$2&amp;"plugins/vc/agents/vc-legal-compliance-desk.md","Legal &amp; Compliance Desk")</f>
        <v/>
      </c>
      <c r="G302" s="16">
        <f>HYPERLINK('Link Config'!$B$2&amp;"plugins/vc/skills/closing-coordination-and-cp-tracking/SKILL.md","closing-coordination-and-cp-tracking")</f>
        <v/>
      </c>
      <c r="H302" s="16">
        <f>HYPERLINK('Link Config'!$B$2&amp;"plugins/vc/alludium/documents/deal-room/completion-tracker-template.md","Completion Tracker Template (output_template, to completion_tracker_artifact_id)")</f>
        <v/>
      </c>
      <c r="I302" s="15" t="inlineStr">
        <is>
          <t>alludium-platform
affinity-mcp-server
exa-mcp-hosted
brave-search-mcp
dealroom-mcp
google_drive</t>
        </is>
      </c>
      <c r="J302" s="15" t="inlineStr">
        <is>
          <t>coordinate-capital-call-and-completion</t>
        </is>
      </c>
      <c r="K302" s="15" t="inlineStr">
        <is>
          <t>project_instance</t>
        </is>
      </c>
    </row>
    <row r="303" ht="90" customHeight="1" s="12">
      <c r="A303" s="15" t="inlineStr"/>
      <c r="B303" s="15" t="inlineStr">
        <is>
          <t>Investment Management</t>
        </is>
      </c>
      <c r="C303" s="15" t="inlineStr">
        <is>
          <t>Closing</t>
        </is>
      </c>
      <c r="D303" s="16">
        <f>HYPERLINK('Link Config'!$B$2&amp;"plugins/vc/tasks/coordinate-capital-call-and-completion.md","Coordinate Capital Call And Completion")</f>
        <v/>
      </c>
      <c r="E303" s="15" t="inlineStr">
        <is>
          <t>Track final closing administration, capital call status, funds transfer readiness, share-certificate receipt, and portfolio handoff triggers without initiating banking or legal completion actions.</t>
        </is>
      </c>
      <c r="F303" s="16">
        <f>HYPERLINK('Link Config'!$B$2&amp;"plugins/vc/agents/vc-legal-compliance-desk.md","Legal &amp; Compliance Desk")</f>
        <v/>
      </c>
      <c r="G303" s="16">
        <f>HYPERLINK('Link Config'!$B$2&amp;"plugins/vc/skills/vc-task-and-next-step-generation/SKILL.md","vc-task-and-next-step-generation")</f>
        <v/>
      </c>
      <c r="H303" s="16">
        <f>HYPERLINK('Link Config'!$B$2&amp;"plugins/vc/alludium/documents/shared/evidence-citation-style-guide.md","Evidence And Citation Style Guide (style_guide)")</f>
        <v/>
      </c>
      <c r="I303" s="15" t="inlineStr">
        <is>
          <t>alludium-platform
affinity-mcp-server
exa-mcp-hosted
brave-search-mcp
dealroom-mcp
google_drive</t>
        </is>
      </c>
      <c r="J303" s="15" t="inlineStr">
        <is>
          <t>coordinate-capital-call-and-completion</t>
        </is>
      </c>
      <c r="K303" s="15" t="inlineStr">
        <is>
          <t>project_instance</t>
        </is>
      </c>
    </row>
    <row r="304" ht="90" customHeight="1" s="12">
      <c r="A304" s="15" t="inlineStr"/>
      <c r="B304" s="15" t="inlineStr">
        <is>
          <t>Investment Management</t>
        </is>
      </c>
      <c r="C304" s="15" t="inlineStr">
        <is>
          <t>Closing</t>
        </is>
      </c>
      <c r="D304" s="16">
        <f>HYPERLINK('Link Config'!$B$2&amp;"plugins/vc/tasks/coordinate-capital-call-and-completion.md","Coordinate Capital Call And Completion")</f>
        <v/>
      </c>
      <c r="E304" s="15" t="inlineStr">
        <is>
          <t>Track final closing administration, capital call status, funds transfer readiness, share-certificate receipt, and portfolio handoff triggers without initiating banking or legal completion actions.</t>
        </is>
      </c>
      <c r="F304" s="16">
        <f>HYPERLINK('Link Config'!$B$2&amp;"plugins/vc/agents/vc-legal-compliance-desk.md","Legal &amp; Compliance Desk")</f>
        <v/>
      </c>
      <c r="G304" s="16">
        <f>HYPERLINK('Link Config'!$B$2&amp;"plugins/vc/skills/citation-enforcement/SKILL.md","citation-enforcement")</f>
        <v/>
      </c>
      <c r="H304" s="16">
        <f>HYPERLINK('Link Config'!$B$2&amp;"plugins/vc/alludium/documents/shared/template-use-guidance.md","Template Use Guidance (operating_guidance)")</f>
        <v/>
      </c>
      <c r="I304" s="15" t="inlineStr">
        <is>
          <t>alludium-platform
affinity-mcp-server
exa-mcp-hosted
brave-search-mcp
dealroom-mcp
google_drive</t>
        </is>
      </c>
      <c r="J304" s="15" t="inlineStr">
        <is>
          <t>coordinate-capital-call-and-completion</t>
        </is>
      </c>
      <c r="K304" s="15" t="inlineStr">
        <is>
          <t>project_instance</t>
        </is>
      </c>
    </row>
    <row r="305" ht="90" customHeight="1" s="12">
      <c r="A305" s="15" t="inlineStr"/>
      <c r="B305" s="15" t="inlineStr">
        <is>
          <t>Investment Management</t>
        </is>
      </c>
      <c r="C305" s="15" t="inlineStr">
        <is>
          <t>Closing</t>
        </is>
      </c>
      <c r="D305" s="16">
        <f>HYPERLINK('Link Config'!$B$2&amp;"plugins/vc/tasks/prepare-portfolio-onboarding.md","Prepare Portfolio Onboarding")</f>
        <v/>
      </c>
      <c r="E305" s="15" t="inlineStr">
        <is>
          <t>Prepare Portfolio Onboarding for one venture-capital opportunity with evidence capture, human review gates, and next-action recommendations.</t>
        </is>
      </c>
      <c r="F305" s="16">
        <f>HYPERLINK('Link Config'!$B$2&amp;"plugins/vc/agents/vc-legal-compliance-desk.md","Legal &amp; Compliance Desk")</f>
        <v/>
      </c>
      <c r="G305" s="16">
        <f>HYPERLINK('Link Config'!$B$2&amp;"plugins/vc/skills/citation-enforcement/SKILL.md","citation-enforcement")</f>
        <v/>
      </c>
      <c r="H305" s="16">
        <f>HYPERLINK('Link Config'!$B$2&amp;"plugins/vc/alludium/documents/deal-room/portfolio-onboarding-plan-template.md","Portfolio Onboarding Plan Template (output_template, to portfolio_onboarding_plan_artifact_id)")</f>
        <v/>
      </c>
      <c r="I305" s="15" t="inlineStr">
        <is>
          <t>alludium-platform
affinity-mcp-server
exa-mcp-hosted
brave-search-mcp
dealroom-mcp
google_drive</t>
        </is>
      </c>
      <c r="J305" s="15" t="inlineStr">
        <is>
          <t>prepare-portfolio-onboarding</t>
        </is>
      </c>
      <c r="K305" s="15" t="inlineStr">
        <is>
          <t>project_instance</t>
        </is>
      </c>
    </row>
    <row r="306" ht="90" customHeight="1" s="12">
      <c r="A306" s="15" t="inlineStr"/>
      <c r="B306" s="15" t="inlineStr">
        <is>
          <t>Investment Management</t>
        </is>
      </c>
      <c r="C306" s="15" t="inlineStr">
        <is>
          <t>Closing</t>
        </is>
      </c>
      <c r="D306" s="16">
        <f>HYPERLINK('Link Config'!$B$2&amp;"plugins/vc/tasks/prepare-portfolio-onboarding.md","Prepare Portfolio Onboarding")</f>
        <v/>
      </c>
      <c r="E306" s="15" t="inlineStr">
        <is>
          <t>Prepare Portfolio Onboarding for one venture-capital opportunity with evidence capture, human review gates, and next-action recommendations.</t>
        </is>
      </c>
      <c r="F306" s="16">
        <f>HYPERLINK('Link Config'!$B$2&amp;"plugins/vc/agents/vc-legal-compliance-desk.md","Legal &amp; Compliance Desk")</f>
        <v/>
      </c>
      <c r="G306" s="16">
        <f>HYPERLINK('Link Config'!$B$2&amp;"plugins/vc/skills/portfolio-onboarding-and-100-day-plan/SKILL.md","portfolio-onboarding-and-100-day-plan")</f>
        <v/>
      </c>
      <c r="H306" s="16">
        <f>HYPERLINK('Link Config'!$B$2&amp;"plugins/vc/alludium/documents/shared/template-use-guidance.md","Template Use Guidance (operating_guidance)")</f>
        <v/>
      </c>
      <c r="I306" s="15" t="inlineStr">
        <is>
          <t>alludium-platform
affinity-mcp-server
exa-mcp-hosted
brave-search-mcp
dealroom-mcp
google_drive</t>
        </is>
      </c>
      <c r="J306" s="15" t="inlineStr">
        <is>
          <t>prepare-portfolio-onboarding</t>
        </is>
      </c>
      <c r="K306" s="15" t="inlineStr">
        <is>
          <t>project_instance</t>
        </is>
      </c>
    </row>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06"/>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Config'!$B$2&amp;"plugins/vc/skills/citation-enforcement/SKILL.md","citation-enforcement")</f>
        <v/>
      </c>
      <c r="C3" s="15" t="n">
        <v>12</v>
      </c>
      <c r="D3" s="15" t="n">
        <v>81</v>
      </c>
      <c r="E3" s="15" t="n">
        <v>37</v>
      </c>
      <c r="F3" s="15" t="n">
        <v>44</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Candidates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Lead Gen Packet
Prepare Meeting
Prepare Outreach Draft Queue
Prepare Partner Review Pack
Prepare Portfolio Onboarding
Prepare Sourcing IC Summary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Request Founder Materials
Review IC Memo
Review Investment Documents
Review Opportunity Status
Review Portfolio Overlap
Review Reddit Candidate Inbox
Review Source Errors and Spend
Review Term Sheet
Run Commercial DD
Run Commercial Evaluation
Run Financial DD
Run Financial Evaluation
Run Founder Evaluation
Run Investment Fit Screen
Run Legal Diligence
Run Opportunity Evaluation
Run Team Evaluation
Run Technical DD
Run Technical Evaluation
Run VC Sourcing Pipeline
Score Sourcing Candidates
Screen Active Sourcing Candidates
Set Up Affinity for Deal Pipelines
Set Up Apify for Origination
Set Up Google Drive for Deal Pipelines
Set Up Harmonic for Deal Pipelines
Set Up Notion for Deal Pipelines
Set Up Slack for Deal Pipelines
Source Thesis Targets
Summarize Meeting Records
Sync Sourcing Candidates
Track Term Sheet Negotiation
Verify Conditions Precedent</t>
        </is>
      </c>
    </row>
    <row r="4" ht="135" customHeight="1" s="12">
      <c r="A4" s="15" t="inlineStr"/>
      <c r="B4" s="16">
        <f>HYPERLINK('Link Config'!$B$2&amp;"plugins/vc/skills/vc-source-registry-and-state-management/SKILL.md","vc-source-registry-and-state-management")</f>
        <v/>
      </c>
      <c r="C4" s="15" t="n">
        <v>1</v>
      </c>
      <c r="D4" s="15" t="n">
        <v>9</v>
      </c>
      <c r="E4" s="15" t="n">
        <v>1</v>
      </c>
      <c r="F4" s="15" t="n">
        <v>8</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Candidates</t>
        </is>
      </c>
    </row>
    <row r="5" ht="120" customHeight="1" s="12">
      <c r="A5" s="15" t="inlineStr"/>
      <c r="B5" s="16">
        <f>HYPERLINK('Link Config'!$B$2&amp;"plugins/vc/skills/red-flags-scanner/SKILL.md","red-flags-scanner")</f>
        <v/>
      </c>
      <c r="C5" s="15" t="n">
        <v>5</v>
      </c>
      <c r="D5" s="15" t="n">
        <v>8</v>
      </c>
      <c r="E5" s="15" t="n">
        <v>8</v>
      </c>
      <c r="F5" s="15" t="n">
        <v>0</v>
      </c>
      <c r="G5" s="15" t="inlineStr">
        <is>
          <t>Dealflow Concierge
Diligence Analyst
Evaluation Analyst
First Look Analyst
Legal &amp; Compliance Desk</t>
        </is>
      </c>
      <c r="H5" s="15" t="inlineStr">
        <is>
          <t>Review Term Sheet
Run Founder Evaluation
Run Investment Fit Screen
Run Legal Diligence
Run Opportunity Evaluation
Run Team Evaluation
Run Technical DD
Run Technical Evaluation</t>
        </is>
      </c>
    </row>
    <row r="6" ht="90" customHeight="1" s="12">
      <c r="A6" s="15" t="inlineStr"/>
      <c r="B6" s="16">
        <f>HYPERLINK('Link Config'!$B$2&amp;"plugins/vc/skills/vc-task-and-next-step-generation/SKILL.md","vc-task-and-next-step-generation")</f>
        <v/>
      </c>
      <c r="C6" s="15" t="n">
        <v>4</v>
      </c>
      <c r="D6" s="15" t="n">
        <v>6</v>
      </c>
      <c r="E6" s="15" t="n">
        <v>3</v>
      </c>
      <c r="F6" s="15" t="n">
        <v>3</v>
      </c>
      <c r="G6" s="15" t="inlineStr">
        <is>
          <t>IC Prep Producer
Legal &amp; Compliance Desk
Meeting Operator
Pipeline Autopilot</t>
        </is>
      </c>
      <c r="H6" s="15" t="inlineStr">
        <is>
          <t>Coordinate Capital Call And Completion
Manage Closing Checklist
Prepare Deal Flow Agenda
Record IC Decision
Review Opportunity Status
Summarize Meeting Records</t>
        </is>
      </c>
    </row>
    <row r="7" ht="75" customHeight="1" s="12">
      <c r="A7" s="15" t="inlineStr"/>
      <c r="B7" s="16">
        <f>HYPERLINK('Link Config'!$B$2&amp;"plugins/vc/skills/closing-coordination-and-cp-tracking/SKILL.md","closing-coordination-and-cp-tracking")</f>
        <v/>
      </c>
      <c r="C7" s="15" t="n">
        <v>1</v>
      </c>
      <c r="D7" s="15" t="n">
        <v>5</v>
      </c>
      <c r="E7" s="15" t="n">
        <v>5</v>
      </c>
      <c r="F7" s="15" t="n">
        <v>0</v>
      </c>
      <c r="G7" s="15" t="inlineStr">
        <is>
          <t>Legal &amp; Compliance Desk</t>
        </is>
      </c>
      <c r="H7" s="15" t="inlineStr">
        <is>
          <t>Coordinate Capital Call And Completion
Manage Closing Checklist
Review Investment Documents
Review Term Sheet
Verify Conditions Precedent</t>
        </is>
      </c>
    </row>
    <row r="8" ht="75" customHeight="1" s="12">
      <c r="A8" s="15" t="inlineStr"/>
      <c r="B8" s="16">
        <f>HYPERLINK('Link Config'!$B$2&amp;"plugins/vc/skills/vc-sourcing-dedupe-and-novelty-check/SKILL.md","vc-sourcing-dedupe-and-novelty-check")</f>
        <v/>
      </c>
      <c r="C8" s="15" t="n">
        <v>1</v>
      </c>
      <c r="D8" s="15" t="n">
        <v>5</v>
      </c>
      <c r="E8" s="15" t="n">
        <v>5</v>
      </c>
      <c r="F8" s="15" t="n">
        <v>0</v>
      </c>
      <c r="G8" s="15" t="inlineStr">
        <is>
          <t>Sourcing Operator</t>
        </is>
      </c>
      <c r="H8" s="15" t="inlineStr">
        <is>
          <t>Enrich Sourcing Candidates
Ingest Manual Sourcing Tip
Review Reddit Candidate Inbox
Score Sourcing Candidates
Sync Sourcing Candidates</t>
        </is>
      </c>
    </row>
    <row r="9" ht="120" customHeight="1" s="12">
      <c r="A9" s="15" t="inlineStr"/>
      <c r="B9" s="16">
        <f>HYPERLINK('Link Config'!$B$2&amp;"plugins/vc/skills/company-research-and-enrichment/SKILL.md","company-research-and-enrichment")</f>
        <v/>
      </c>
      <c r="C9" s="15" t="n">
        <v>8</v>
      </c>
      <c r="D9" s="15" t="n">
        <v>4</v>
      </c>
      <c r="E9" s="15" t="n">
        <v>2</v>
      </c>
      <c r="F9" s="15" t="n">
        <v>2</v>
      </c>
      <c r="G9" s="15" t="inlineStr">
        <is>
          <t>Dealflow Concierge
Diligence Analyst
Evaluation Analyst
First Look Analyst
Meeting Operator
Origination Scout
Pipeline Autopilot
Sourcing Operator</t>
        </is>
      </c>
      <c r="H9" s="15" t="inlineStr">
        <is>
          <t>Capture Opportunity Intake
Prepare Lead Gen Packet
Prepare Meeting
Source Thesis Targets</t>
        </is>
      </c>
    </row>
    <row r="10" ht="60" customHeight="1" s="12">
      <c r="A10" s="15" t="inlineStr"/>
      <c r="B10" s="16">
        <f>HYPERLINK('Link Config'!$B$2&amp;"plugins/vc/skills/ic-memo-assembly/SKILL.md","ic-memo-assembly")</f>
        <v/>
      </c>
      <c r="C10" s="15" t="n">
        <v>2</v>
      </c>
      <c r="D10" s="15" t="n">
        <v>4</v>
      </c>
      <c r="E10" s="15" t="n">
        <v>4</v>
      </c>
      <c r="F10" s="15" t="n">
        <v>0</v>
      </c>
      <c r="G10" s="15" t="inlineStr">
        <is>
          <t>Diligence Analyst
IC Prep Producer</t>
        </is>
      </c>
      <c r="H10" s="15" t="inlineStr">
        <is>
          <t>Create IC Memo
Prepare Partner Review Pack
Prepare Team Review Pack
Review IC Memo</t>
        </is>
      </c>
    </row>
    <row r="11" ht="60" customHeight="1" s="12">
      <c r="A11" s="15" t="inlineStr"/>
      <c r="B11" s="16">
        <f>HYPERLINK('Link Config'!$B$2&amp;"plugins/vc/skills/ic-risk-checklist-and-decision-log/SKILL.md","ic-risk-checklist-and-decision-log")</f>
        <v/>
      </c>
      <c r="C11" s="15" t="n">
        <v>1</v>
      </c>
      <c r="D11" s="15" t="n">
        <v>4</v>
      </c>
      <c r="E11" s="15" t="n">
        <v>4</v>
      </c>
      <c r="F11" s="15" t="n">
        <v>0</v>
      </c>
      <c r="G11" s="15" t="inlineStr">
        <is>
          <t>IC Prep Producer</t>
        </is>
      </c>
      <c r="H11" s="15" t="inlineStr">
        <is>
          <t>Create IC Memo
Prepare IC Agenda
Record IC Decision
Review IC Memo</t>
        </is>
      </c>
    </row>
    <row r="12" ht="45" customHeight="1" s="12">
      <c r="A12" s="15" t="inlineStr"/>
      <c r="B12" s="16">
        <f>HYPERLINK('Link Config'!$B$2&amp;"plugins/vc/skills/deal-room-setup-and-source-ingestion/SKILL.md","deal-room-setup-and-source-ingestion")</f>
        <v/>
      </c>
      <c r="C12" s="15" t="n">
        <v>3</v>
      </c>
      <c r="D12" s="15" t="n">
        <v>3</v>
      </c>
      <c r="E12" s="15" t="n">
        <v>2</v>
      </c>
      <c r="F12" s="15" t="n">
        <v>1</v>
      </c>
      <c r="G12" s="15" t="inlineStr">
        <is>
          <t>Deal Pipeline Setup Guide
Dealflow Concierge
Sourcing Operator</t>
        </is>
      </c>
      <c r="H12" s="15" t="inlineStr">
        <is>
          <t>Capture Opportunity Intake
Import Affinity Deal Pipeline Seed
Promote Candidate to Deal Pipeline</t>
        </is>
      </c>
    </row>
    <row r="13" ht="45" customHeight="1" s="12">
      <c r="A13" s="15" t="inlineStr"/>
      <c r="B13" s="16">
        <f>HYPERLINK('Link Config'!$B$2&amp;"plugins/vc/skills/meeting-prep-and-summary/SKILL.md","meeting-prep-and-summary")</f>
        <v/>
      </c>
      <c r="C13" s="15" t="n">
        <v>2</v>
      </c>
      <c r="D13" s="15" t="n">
        <v>3</v>
      </c>
      <c r="E13" s="15" t="n">
        <v>1</v>
      </c>
      <c r="F13" s="15" t="n">
        <v>2</v>
      </c>
      <c r="G13" s="15" t="inlineStr">
        <is>
          <t>IC Prep Producer
Meeting Operator</t>
        </is>
      </c>
      <c r="H13" s="15" t="inlineStr">
        <is>
          <t>Prepare IC Agenda
Prepare Meeting
Summarize Meeting Records</t>
        </is>
      </c>
    </row>
    <row r="14" ht="45" customHeight="1" s="12">
      <c r="A14" s="15" t="inlineStr"/>
      <c r="B14" s="16">
        <f>HYPERLINK('Link Config'!$B$2&amp;"plugins/vc/skills/vc-affinity-sync-read/SKILL.md","vc-affinity-sync-read")</f>
        <v/>
      </c>
      <c r="C14" s="15" t="n">
        <v>2</v>
      </c>
      <c r="D14" s="15" t="n">
        <v>3</v>
      </c>
      <c r="E14" s="15" t="n">
        <v>0</v>
      </c>
      <c r="F14" s="15" t="n">
        <v>3</v>
      </c>
      <c r="G14" s="15" t="inlineStr">
        <is>
          <t>Deal Pipeline Setup Guide
Integration Operator</t>
        </is>
      </c>
      <c r="H14" s="15" t="inlineStr">
        <is>
          <t>Import Affinity Deal Pipeline Seed
Preview Affinity Pipeline Import
Set Up Affinity for Deal Pipelines</t>
        </is>
      </c>
    </row>
    <row r="15" ht="45" customHeight="1" s="12">
      <c r="A15" s="15" t="inlineStr"/>
      <c r="B15" s="16">
        <f>HYPERLINK('Link Config'!$B$2&amp;"plugins/vc/skills/vc-companies-house-sourcing/SKILL.md","vc-companies-house-sourcing")</f>
        <v/>
      </c>
      <c r="C15" s="15" t="n">
        <v>2</v>
      </c>
      <c r="D15" s="15" t="n">
        <v>3</v>
      </c>
      <c r="E15" s="15" t="n">
        <v>0</v>
      </c>
      <c r="F15" s="15" t="n">
        <v>3</v>
      </c>
      <c r="G15" s="15" t="inlineStr">
        <is>
          <t>Integration Operator
Sourcing Operator</t>
        </is>
      </c>
      <c r="H15" s="15" t="inlineStr">
        <is>
          <t>Configure Companies House Public Register Preview
Discover Companies House Candidates
Explore Companies House Public Register Scope</t>
        </is>
      </c>
    </row>
    <row r="16" ht="45" customHeight="1" s="12">
      <c r="A16" s="15" t="inlineStr"/>
      <c r="B16" s="16">
        <f>HYPERLINK('Link Config'!$B$2&amp;"plugins/vc/skills/vc-notion-sync-write/SKILL.md","vc-notion-sync-write")</f>
        <v/>
      </c>
      <c r="C16" s="15" t="n">
        <v>2</v>
      </c>
      <c r="D16" s="15" t="n">
        <v>3</v>
      </c>
      <c r="E16" s="15" t="n">
        <v>1</v>
      </c>
      <c r="F16" s="15" t="n">
        <v>2</v>
      </c>
      <c r="G16" s="15" t="inlineStr">
        <is>
          <t>Integration Operator
Sourcing Operator</t>
        </is>
      </c>
      <c r="H16" s="15" t="inlineStr">
        <is>
          <t>Draft Notion Update Proposals
Set Up Notion for Deal Pipelines
Sync Sourcing Candidates</t>
        </is>
      </c>
    </row>
    <row r="17" ht="30" customHeight="1" s="12">
      <c r="A17" s="15" t="inlineStr"/>
      <c r="B17" s="16">
        <f>HYPERLINK('Link Config'!$B$2&amp;"plugins/vc/skills/deal-terms-analysis/SKILL.md","deal-terms-analysis")</f>
        <v/>
      </c>
      <c r="C17" s="15" t="n">
        <v>1</v>
      </c>
      <c r="D17" s="15" t="n">
        <v>2</v>
      </c>
      <c r="E17" s="15" t="n">
        <v>2</v>
      </c>
      <c r="F17" s="15" t="n">
        <v>0</v>
      </c>
      <c r="G17" s="15" t="inlineStr">
        <is>
          <t>Legal &amp; Compliance Desk</t>
        </is>
      </c>
      <c r="H17" s="15" t="inlineStr">
        <is>
          <t>Analyze Deal Terms
Track Term Sheet Negotiation</t>
        </is>
      </c>
    </row>
    <row r="18" ht="30" customHeight="1" s="12">
      <c r="A18" s="15" t="inlineStr"/>
      <c r="B18" s="16">
        <f>HYPERLINK('Link Config'!$B$2&amp;"plugins/vc/skills/founder-outreach-and-intro-paths/SKILL.md","founder-outreach-and-intro-paths")</f>
        <v/>
      </c>
      <c r="C18" s="15" t="n">
        <v>2</v>
      </c>
      <c r="D18" s="15" t="n">
        <v>2</v>
      </c>
      <c r="E18" s="15" t="n">
        <v>1</v>
      </c>
      <c r="F18" s="15" t="n">
        <v>1</v>
      </c>
      <c r="G18" s="15" t="inlineStr">
        <is>
          <t>Origination Scout
Sourcing Operator</t>
        </is>
      </c>
      <c r="H18" s="15" t="inlineStr">
        <is>
          <t>Prepare Outreach Draft Queue
Source Thesis Targets</t>
        </is>
      </c>
    </row>
    <row r="19" ht="30" customHeight="1" s="12">
      <c r="A19" s="15" t="inlineStr"/>
      <c r="B19" s="16">
        <f>HYPERLINK('Link Config'!$B$2&amp;"plugins/vc/skills/investment-diligence-question-framework/SKILL.md","investment-diligence-question-framework")</f>
        <v/>
      </c>
      <c r="C19" s="15" t="n">
        <v>2</v>
      </c>
      <c r="D19" s="15" t="n">
        <v>2</v>
      </c>
      <c r="E19" s="15" t="n">
        <v>2</v>
      </c>
      <c r="F19" s="15" t="n">
        <v>0</v>
      </c>
      <c r="G19" s="15" t="inlineStr">
        <is>
          <t>Diligence Analyst
Evaluation Analyst</t>
        </is>
      </c>
      <c r="H19" s="15" t="inlineStr">
        <is>
          <t>Generate Diligence Questions
Run Opportunity Evaluation</t>
        </is>
      </c>
    </row>
    <row r="20" ht="75" customHeight="1" s="12">
      <c r="A20" s="15" t="inlineStr"/>
      <c r="B20" s="16">
        <f>HYPERLINK('Link Config'!$B$2&amp;"plugins/vc/skills/investment-screening-framework/SKILL.md","investment-screening-framework")</f>
        <v/>
      </c>
      <c r="C20" s="15" t="n">
        <v>5</v>
      </c>
      <c r="D20" s="15" t="n">
        <v>2</v>
      </c>
      <c r="E20" s="15" t="n">
        <v>1</v>
      </c>
      <c r="F20" s="15" t="n">
        <v>1</v>
      </c>
      <c r="G20" s="15" t="inlineStr">
        <is>
          <t>Dealflow Concierge
First Look Analyst
Meeting Operator
Origination Scout
Sourcing Operator</t>
        </is>
      </c>
      <c r="H20" s="15" t="inlineStr">
        <is>
          <t>Run Investment Fit Screen
Screen Active Sourcing Candidates</t>
        </is>
      </c>
    </row>
    <row r="21" ht="30" customHeight="1" s="12">
      <c r="A21" s="15" t="inlineStr"/>
      <c r="B21" s="16">
        <f>HYPERLINK('Link Config'!$B$2&amp;"plugins/vc/skills/legal-diligence-coordination/SKILL.md","legal-diligence-coordination")</f>
        <v/>
      </c>
      <c r="C21" s="15" t="n">
        <v>1</v>
      </c>
      <c r="D21" s="15" t="n">
        <v>2</v>
      </c>
      <c r="E21" s="15" t="n">
        <v>2</v>
      </c>
      <c r="F21" s="15" t="n">
        <v>0</v>
      </c>
      <c r="G21" s="15" t="inlineStr">
        <is>
          <t>Legal &amp; Compliance Desk</t>
        </is>
      </c>
      <c r="H21" s="15" t="inlineStr">
        <is>
          <t>Review Investment Documents
Run Legal Diligence</t>
        </is>
      </c>
    </row>
    <row r="22" ht="30" customHeight="1" s="12">
      <c r="A22" s="15" t="inlineStr"/>
      <c r="B22" s="16">
        <f>HYPERLINK('Link Config'!$B$2&amp;"plugins/vc/skills/pitch-deck-explainer/SKILL.md","pitch-deck-explainer")</f>
        <v/>
      </c>
      <c r="C22" s="15" t="n">
        <v>2</v>
      </c>
      <c r="D22" s="15" t="n">
        <v>2</v>
      </c>
      <c r="E22" s="15" t="n">
        <v>1</v>
      </c>
      <c r="F22" s="15" t="n">
        <v>1</v>
      </c>
      <c r="G22" s="15" t="inlineStr">
        <is>
          <t>Dealflow Concierge
Meeting Operator</t>
        </is>
      </c>
      <c r="H22" s="15" t="inlineStr">
        <is>
          <t>Capture Opportunity Intake
Prepare Meeting</t>
        </is>
      </c>
    </row>
    <row r="23" ht="30" customHeight="1" s="12">
      <c r="A23" s="15" t="inlineStr"/>
      <c r="B23" s="16">
        <f>HYPERLINK('Link Config'!$B$2&amp;"plugins/vc/skills/team-and-hiring-assessment/SKILL.md","team-and-hiring-assessment")</f>
        <v/>
      </c>
      <c r="C23" s="15" t="n">
        <v>1</v>
      </c>
      <c r="D23" s="15" t="n">
        <v>2</v>
      </c>
      <c r="E23" s="15" t="n">
        <v>2</v>
      </c>
      <c r="F23" s="15" t="n">
        <v>0</v>
      </c>
      <c r="G23" s="15" t="inlineStr">
        <is>
          <t>Diligence Analyst</t>
        </is>
      </c>
      <c r="H23" s="15" t="inlineStr">
        <is>
          <t>Run Founder Evaluation
Run Technical DD</t>
        </is>
      </c>
    </row>
    <row r="24" ht="30" customHeight="1" s="12">
      <c r="A24" s="15" t="inlineStr"/>
      <c r="B24" s="16">
        <f>HYPERLINK('Link Config'!$B$2&amp;"plugins/vc/skills/vc-affinity-discovery/SKILL.md","vc-affinity-discovery")</f>
        <v/>
      </c>
      <c r="C24" s="15" t="n">
        <v>2</v>
      </c>
      <c r="D24" s="15" t="n">
        <v>2</v>
      </c>
      <c r="E24" s="15" t="n">
        <v>0</v>
      </c>
      <c r="F24" s="15" t="n">
        <v>2</v>
      </c>
      <c r="G24" s="15" t="inlineStr">
        <is>
          <t>Deal Pipeline Setup Guide
Integration Operator</t>
        </is>
      </c>
      <c r="H24" s="15" t="inlineStr">
        <is>
          <t>Explore Affinity Lists and Stages
Set Up Affinity for Deal Pipelines</t>
        </is>
      </c>
    </row>
    <row r="25" ht="30" customHeight="1" s="12">
      <c r="A25" s="15" t="inlineStr"/>
      <c r="B25" s="16">
        <f>HYPERLINK('Link Config'!$B$2&amp;"plugins/vc/skills/vc-affinity-sync-write/SKILL.md","vc-affinity-sync-write")</f>
        <v/>
      </c>
      <c r="C25" s="15" t="n">
        <v>2</v>
      </c>
      <c r="D25" s="15" t="n">
        <v>2</v>
      </c>
      <c r="E25" s="15" t="n">
        <v>0</v>
      </c>
      <c r="F25" s="15" t="n">
        <v>2</v>
      </c>
      <c r="G25" s="15" t="inlineStr">
        <is>
          <t>Deal Pipeline Setup Guide
Integration Operator</t>
        </is>
      </c>
      <c r="H25" s="15" t="inlineStr">
        <is>
          <t>Draft Affinity Write-Back Proposals
Set Up Affinity for Deal Pipelines</t>
        </is>
      </c>
    </row>
    <row r="26" ht="30" customHeight="1" s="12">
      <c r="A26" s="15" t="inlineStr"/>
      <c r="B26" s="16">
        <f>HYPERLINK('Link Config'!$B$2&amp;"plugins/vc/skills/vc-apify-discovery/SKILL.md","vc-apify-discovery")</f>
        <v/>
      </c>
      <c r="C26" s="15" t="n">
        <v>1</v>
      </c>
      <c r="D26" s="15" t="n">
        <v>2</v>
      </c>
      <c r="E26" s="15" t="n">
        <v>0</v>
      </c>
      <c r="F26" s="15" t="n">
        <v>2</v>
      </c>
      <c r="G26" s="15" t="inlineStr">
        <is>
          <t>Integration Operator</t>
        </is>
      </c>
      <c r="H26" s="15" t="inlineStr">
        <is>
          <t>Explore Apify Origination Sources
Set Up Apify for Origination</t>
        </is>
      </c>
    </row>
    <row r="27" ht="30" customHeight="1" s="12">
      <c r="A27" s="15" t="inlineStr"/>
      <c r="B27" s="16">
        <f>HYPERLINK('Link Config'!$B$2&amp;"plugins/vc/skills/vc-apify-sync-read/SKILL.md","vc-apify-sync-read")</f>
        <v/>
      </c>
      <c r="C27" s="15" t="n">
        <v>1</v>
      </c>
      <c r="D27" s="15" t="n">
        <v>2</v>
      </c>
      <c r="E27" s="15" t="n">
        <v>0</v>
      </c>
      <c r="F27" s="15" t="n">
        <v>2</v>
      </c>
      <c r="G27" s="15" t="inlineStr">
        <is>
          <t>Integration Operator</t>
        </is>
      </c>
      <c r="H27" s="15" t="inlineStr">
        <is>
          <t>Preview Apify Origination Results
Set Up Apify for Origination</t>
        </is>
      </c>
    </row>
    <row r="28" ht="30" customHeight="1" s="12">
      <c r="A28" s="15" t="inlineStr"/>
      <c r="B28" s="16">
        <f>HYPERLINK('Link Config'!$B$2&amp;"plugins/vc/skills/vc-companies-house-sync-read/SKILL.md","vc-companies-house-sync-read")</f>
        <v/>
      </c>
      <c r="C28" s="15" t="n">
        <v>1</v>
      </c>
      <c r="D28" s="15" t="n">
        <v>2</v>
      </c>
      <c r="E28" s="15" t="n">
        <v>0</v>
      </c>
      <c r="F28" s="15" t="n">
        <v>2</v>
      </c>
      <c r="G28" s="15" t="inlineStr">
        <is>
          <t>Integration Operator</t>
        </is>
      </c>
      <c r="H28" s="15" t="inlineStr">
        <is>
          <t>Configure Companies House Public Register Preview
Preview Companies House Public Register Results</t>
        </is>
      </c>
    </row>
    <row r="29" ht="30" customHeight="1" s="12">
      <c r="A29" s="15" t="inlineStr"/>
      <c r="B29" s="16">
        <f>HYPERLINK('Link Config'!$B$2&amp;"plugins/vc/skills/vc-google-drive-discovery/SKILL.md","vc-google-drive-discovery")</f>
        <v/>
      </c>
      <c r="C29" s="15" t="n">
        <v>1</v>
      </c>
      <c r="D29" s="15" t="n">
        <v>2</v>
      </c>
      <c r="E29" s="15" t="n">
        <v>0</v>
      </c>
      <c r="F29" s="15" t="n">
        <v>2</v>
      </c>
      <c r="G29" s="15" t="inlineStr">
        <is>
          <t>Integration Operator</t>
        </is>
      </c>
      <c r="H29" s="15" t="inlineStr">
        <is>
          <t>Explore Google Drive Sources
Set Up Google Drive for Deal Pipelines</t>
        </is>
      </c>
    </row>
    <row r="30" ht="30" customHeight="1" s="12">
      <c r="A30" s="15" t="inlineStr"/>
      <c r="B30" s="16">
        <f>HYPERLINK('Link Config'!$B$2&amp;"plugins/vc/skills/vc-google-drive-sync-read/SKILL.md","vc-google-drive-sync-read")</f>
        <v/>
      </c>
      <c r="C30" s="15" t="n">
        <v>1</v>
      </c>
      <c r="D30" s="15" t="n">
        <v>2</v>
      </c>
      <c r="E30" s="15" t="n">
        <v>0</v>
      </c>
      <c r="F30" s="15" t="n">
        <v>2</v>
      </c>
      <c r="G30" s="15" t="inlineStr">
        <is>
          <t>Integration Operator</t>
        </is>
      </c>
      <c r="H30" s="15" t="inlineStr">
        <is>
          <t>Preview Google Drive Context
Set Up Google Drive for Deal Pipelines</t>
        </is>
      </c>
    </row>
    <row r="31" ht="30" customHeight="1" s="12">
      <c r="A31" s="15" t="inlineStr"/>
      <c r="B31" s="16">
        <f>HYPERLINK('Link Config'!$B$2&amp;"plugins/vc/skills/vc-google-drive-sync-write/SKILL.md","vc-google-drive-sync-write")</f>
        <v/>
      </c>
      <c r="C31" s="15" t="n">
        <v>1</v>
      </c>
      <c r="D31" s="15" t="n">
        <v>2</v>
      </c>
      <c r="E31" s="15" t="n">
        <v>0</v>
      </c>
      <c r="F31" s="15" t="n">
        <v>2</v>
      </c>
      <c r="G31" s="15" t="inlineStr">
        <is>
          <t>Integration Operator</t>
        </is>
      </c>
      <c r="H31" s="15" t="inlineStr">
        <is>
          <t>Draft Google Drive File Proposals
Set Up Google Drive for Deal Pipelines</t>
        </is>
      </c>
    </row>
    <row r="32" ht="30" customHeight="1" s="12">
      <c r="A32" s="15" t="inlineStr"/>
      <c r="B32" s="16">
        <f>HYPERLINK('Link Config'!$B$2&amp;"plugins/vc/skills/vc-harmonic-discovery/SKILL.md","vc-harmonic-discovery")</f>
        <v/>
      </c>
      <c r="C32" s="15" t="n">
        <v>1</v>
      </c>
      <c r="D32" s="15" t="n">
        <v>2</v>
      </c>
      <c r="E32" s="15" t="n">
        <v>0</v>
      </c>
      <c r="F32" s="15" t="n">
        <v>2</v>
      </c>
      <c r="G32" s="15" t="inlineStr">
        <is>
          <t>Integration Operator</t>
        </is>
      </c>
      <c r="H32" s="15" t="inlineStr">
        <is>
          <t>Explore Harmonic Source Scopes
Set Up Harmonic for Deal Pipelines</t>
        </is>
      </c>
    </row>
    <row r="33" ht="30" customHeight="1" s="12">
      <c r="A33" s="15" t="inlineStr"/>
      <c r="B33" s="16">
        <f>HYPERLINK('Link Config'!$B$2&amp;"plugins/vc/skills/vc-harmonic-sync-read/SKILL.md","vc-harmonic-sync-read")</f>
        <v/>
      </c>
      <c r="C33" s="15" t="n">
        <v>1</v>
      </c>
      <c r="D33" s="15" t="n">
        <v>2</v>
      </c>
      <c r="E33" s="15" t="n">
        <v>0</v>
      </c>
      <c r="F33" s="15" t="n">
        <v>2</v>
      </c>
      <c r="G33" s="15" t="inlineStr">
        <is>
          <t>Integration Operator</t>
        </is>
      </c>
      <c r="H33" s="15" t="inlineStr">
        <is>
          <t>Preview Harmonic Search Results
Set Up Harmonic for Deal Pipelines</t>
        </is>
      </c>
    </row>
    <row r="34" ht="30" customHeight="1" s="12">
      <c r="A34" s="15" t="inlineStr"/>
      <c r="B34" s="16">
        <f>HYPERLINK('Link Config'!$B$2&amp;"plugins/vc/skills/vc-notion-discovery/SKILL.md","vc-notion-discovery")</f>
        <v/>
      </c>
      <c r="C34" s="15" t="n">
        <v>1</v>
      </c>
      <c r="D34" s="15" t="n">
        <v>2</v>
      </c>
      <c r="E34" s="15" t="n">
        <v>0</v>
      </c>
      <c r="F34" s="15" t="n">
        <v>2</v>
      </c>
      <c r="G34" s="15" t="inlineStr">
        <is>
          <t>Integration Operator</t>
        </is>
      </c>
      <c r="H34" s="15" t="inlineStr">
        <is>
          <t>Explore Notion Pages and Databases
Set Up Notion for Deal Pipelines</t>
        </is>
      </c>
    </row>
    <row r="35" ht="30" customHeight="1" s="12">
      <c r="A35" s="15" t="inlineStr"/>
      <c r="B35" s="16">
        <f>HYPERLINK('Link Config'!$B$2&amp;"plugins/vc/skills/vc-notion-sync-read/SKILL.md","vc-notion-sync-read")</f>
        <v/>
      </c>
      <c r="C35" s="15" t="n">
        <v>1</v>
      </c>
      <c r="D35" s="15" t="n">
        <v>2</v>
      </c>
      <c r="E35" s="15" t="n">
        <v>0</v>
      </c>
      <c r="F35" s="15" t="n">
        <v>2</v>
      </c>
      <c r="G35" s="15" t="inlineStr">
        <is>
          <t>Integration Operator</t>
        </is>
      </c>
      <c r="H35" s="15" t="inlineStr">
        <is>
          <t>Preview Notion Context
Set Up Notion for Deal Pipelines</t>
        </is>
      </c>
    </row>
    <row r="36" ht="30" customHeight="1" s="12">
      <c r="A36" s="15" t="inlineStr"/>
      <c r="B36" s="16">
        <f>HYPERLINK('Link Config'!$B$2&amp;"plugins/vc/skills/vc-origination-pipeline-orchestration/SKILL.md","vc-origination-pipeline-orchestration")</f>
        <v/>
      </c>
      <c r="C36" s="15" t="n">
        <v>1</v>
      </c>
      <c r="D36" s="15" t="n">
        <v>2</v>
      </c>
      <c r="E36" s="15" t="n">
        <v>1</v>
      </c>
      <c r="F36" s="15" t="n">
        <v>1</v>
      </c>
      <c r="G36" s="15" t="inlineStr">
        <is>
          <t>Sourcing Operator</t>
        </is>
      </c>
      <c r="H36" s="15" t="inlineStr">
        <is>
          <t>Configure Origination Pipeline
Run VC Sourcing Pipeline</t>
        </is>
      </c>
    </row>
    <row r="37" ht="30" customHeight="1" s="12">
      <c r="A37" s="15" t="inlineStr"/>
      <c r="B37" s="16">
        <f>HYPERLINK('Link Config'!$B$2&amp;"plugins/vc/skills/vc-relationship-context-check/SKILL.md","vc-relationship-context-check")</f>
        <v/>
      </c>
      <c r="C37" s="15" t="n">
        <v>1</v>
      </c>
      <c r="D37" s="15" t="n">
        <v>2</v>
      </c>
      <c r="E37" s="15" t="n">
        <v>1</v>
      </c>
      <c r="F37" s="15" t="n">
        <v>1</v>
      </c>
      <c r="G37" s="15" t="inlineStr">
        <is>
          <t>Sourcing Operator</t>
        </is>
      </c>
      <c r="H37" s="15" t="inlineStr">
        <is>
          <t>Check Affinity Relationship Context
Review Portfolio Overlap</t>
        </is>
      </c>
    </row>
    <row r="38" ht="30" customHeight="1" s="12">
      <c r="A38" s="15" t="inlineStr"/>
      <c r="B38" s="16">
        <f>HYPERLINK('Link Config'!$B$2&amp;"plugins/vc/skills/vc-slack-discovery/SKILL.md","vc-slack-discovery")</f>
        <v/>
      </c>
      <c r="C38" s="15" t="n">
        <v>1</v>
      </c>
      <c r="D38" s="15" t="n">
        <v>2</v>
      </c>
      <c r="E38" s="15" t="n">
        <v>0</v>
      </c>
      <c r="F38" s="15" t="n">
        <v>2</v>
      </c>
      <c r="G38" s="15" t="inlineStr">
        <is>
          <t>Integration Operator</t>
        </is>
      </c>
      <c r="H38" s="15" t="inlineStr">
        <is>
          <t>Explore Slack Channels for VC Context
Set Up Slack for Deal Pipelines</t>
        </is>
      </c>
    </row>
    <row r="39" ht="30" customHeight="1" s="12">
      <c r="A39" s="15" t="inlineStr"/>
      <c r="B39" s="16">
        <f>HYPERLINK('Link Config'!$B$2&amp;"plugins/vc/skills/vc-slack-sync-read/SKILL.md","vc-slack-sync-read")</f>
        <v/>
      </c>
      <c r="C39" s="15" t="n">
        <v>1</v>
      </c>
      <c r="D39" s="15" t="n">
        <v>2</v>
      </c>
      <c r="E39" s="15" t="n">
        <v>0</v>
      </c>
      <c r="F39" s="15" t="n">
        <v>2</v>
      </c>
      <c r="G39" s="15" t="inlineStr">
        <is>
          <t>Integration Operator</t>
        </is>
      </c>
      <c r="H39" s="15" t="inlineStr">
        <is>
          <t>Preview Slack Deal Context
Set Up Slack for Deal Pipelines</t>
        </is>
      </c>
    </row>
    <row r="40" ht="30" customHeight="1" s="12">
      <c r="A40" s="15" t="inlineStr"/>
      <c r="B40" s="16">
        <f>HYPERLINK('Link Config'!$B$2&amp;"plugins/vc/skills/vc-slack-sync-write/SKILL.md","vc-slack-sync-write")</f>
        <v/>
      </c>
      <c r="C40" s="15" t="n">
        <v>1</v>
      </c>
      <c r="D40" s="15" t="n">
        <v>2</v>
      </c>
      <c r="E40" s="15" t="n">
        <v>0</v>
      </c>
      <c r="F40" s="15" t="n">
        <v>2</v>
      </c>
      <c r="G40" s="15" t="inlineStr">
        <is>
          <t>Integration Operator</t>
        </is>
      </c>
      <c r="H40" s="15" t="inlineStr">
        <is>
          <t>Draft Slack Handoff Notifications
Set Up Slack for Deal Pipelines</t>
        </is>
      </c>
    </row>
    <row r="41" ht="30" customHeight="1" s="12">
      <c r="A41" s="15" t="inlineStr"/>
      <c r="B41" s="16">
        <f>HYPERLINK('Link Config'!$B$2&amp;"plugins/vc/skills/vc-sourcing-verdict-and-screening/SKILL.md","vc-sourcing-verdict-and-screening")</f>
        <v/>
      </c>
      <c r="C41" s="15" t="n">
        <v>1</v>
      </c>
      <c r="D41" s="15" t="n">
        <v>2</v>
      </c>
      <c r="E41" s="15" t="n">
        <v>1</v>
      </c>
      <c r="F41" s="15" t="n">
        <v>1</v>
      </c>
      <c r="G41" s="15" t="inlineStr">
        <is>
          <t>Sourcing Operator</t>
        </is>
      </c>
      <c r="H41" s="15" t="inlineStr">
        <is>
          <t>Score Sourcing Candidates
Screen Active Sourcing Candidates</t>
        </is>
      </c>
    </row>
    <row r="42" ht="18" customHeight="1" s="12">
      <c r="A42" s="15" t="inlineStr"/>
      <c r="B42" s="16">
        <f>HYPERLINK('Link Config'!$B$2&amp;"plugins/vc/skills/commercial-diligence-workstream/SKILL.md","commercial-diligence-workstream")</f>
        <v/>
      </c>
      <c r="C42" s="15" t="n">
        <v>1</v>
      </c>
      <c r="D42" s="15" t="n">
        <v>1</v>
      </c>
      <c r="E42" s="15" t="n">
        <v>1</v>
      </c>
      <c r="F42" s="15" t="n">
        <v>0</v>
      </c>
      <c r="G42" s="15" t="inlineStr">
        <is>
          <t>Diligence Analyst</t>
        </is>
      </c>
      <c r="H42" s="15" t="inlineStr">
        <is>
          <t>Run Commercial DD</t>
        </is>
      </c>
    </row>
    <row r="43" ht="18" customHeight="1" s="12">
      <c r="A43" s="15" t="inlineStr"/>
      <c r="B43" s="16">
        <f>HYPERLINK('Link Config'!$B$2&amp;"plugins/vc/skills/commercial-evaluation-and-market-risk/SKILL.md","commercial-evaluation-and-market-risk")</f>
        <v/>
      </c>
      <c r="C43" s="15" t="n">
        <v>1</v>
      </c>
      <c r="D43" s="15" t="n">
        <v>1</v>
      </c>
      <c r="E43" s="15" t="n">
        <v>1</v>
      </c>
      <c r="F43" s="15" t="n">
        <v>0</v>
      </c>
      <c r="G43" s="15" t="inlineStr">
        <is>
          <t>Evaluation Analyst</t>
        </is>
      </c>
      <c r="H43" s="15" t="inlineStr">
        <is>
          <t>Run Commercial Evaluation</t>
        </is>
      </c>
    </row>
    <row r="44" ht="18" customHeight="1" s="12">
      <c r="A44" s="15" t="inlineStr"/>
      <c r="B44" s="16">
        <f>HYPERLINK('Link Config'!$B$2&amp;"plugins/vc/skills/financial-diligence-workstream/SKILL.md","financial-diligence-workstream")</f>
        <v/>
      </c>
      <c r="C44" s="15" t="n">
        <v>1</v>
      </c>
      <c r="D44" s="15" t="n">
        <v>1</v>
      </c>
      <c r="E44" s="15" t="n">
        <v>1</v>
      </c>
      <c r="F44" s="15" t="n">
        <v>0</v>
      </c>
      <c r="G44" s="15" t="inlineStr">
        <is>
          <t>Diligence Analyst</t>
        </is>
      </c>
      <c r="H44" s="15" t="inlineStr">
        <is>
          <t>Run Financial DD</t>
        </is>
      </c>
    </row>
    <row r="45" ht="18" customHeight="1" s="12">
      <c r="A45" s="15" t="inlineStr"/>
      <c r="B45" s="16">
        <f>HYPERLINK('Link Config'!$B$2&amp;"plugins/vc/skills/financial-evaluation-and-financing-risk/SKILL.md","financial-evaluation-and-financing-risk")</f>
        <v/>
      </c>
      <c r="C45" s="15" t="n">
        <v>1</v>
      </c>
      <c r="D45" s="15" t="n">
        <v>1</v>
      </c>
      <c r="E45" s="15" t="n">
        <v>1</v>
      </c>
      <c r="F45" s="15" t="n">
        <v>0</v>
      </c>
      <c r="G45" s="15" t="inlineStr">
        <is>
          <t>Evaluation Analyst</t>
        </is>
      </c>
      <c r="H45" s="15" t="inlineStr">
        <is>
          <t>Run Financial Evaluation</t>
        </is>
      </c>
    </row>
    <row r="46" ht="18" customHeight="1" s="12">
      <c r="A46" s="15" t="inlineStr"/>
      <c r="B46" s="16">
        <f>HYPERLINK('Link Config'!$B$2&amp;"plugins/vc/skills/founder-evaluation-and-reference-checking/SKILL.md","founder-evaluation-and-reference-checking")</f>
        <v/>
      </c>
      <c r="C46" s="15" t="n">
        <v>1</v>
      </c>
      <c r="D46" s="15" t="n">
        <v>1</v>
      </c>
      <c r="E46" s="15" t="n">
        <v>1</v>
      </c>
      <c r="F46" s="15" t="n">
        <v>0</v>
      </c>
      <c r="G46" s="15" t="inlineStr">
        <is>
          <t>Diligence Analyst</t>
        </is>
      </c>
      <c r="H46" s="15" t="inlineStr">
        <is>
          <t>Run Founder Evaluation</t>
        </is>
      </c>
    </row>
    <row r="47" ht="18" customHeight="1" s="12">
      <c r="A47" s="15" t="inlineStr"/>
      <c r="B47" s="16">
        <f>HYPERLINK('Link Config'!$B$2&amp;"plugins/vc/skills/founder-materials-request/SKILL.md","founder-materials-request")</f>
        <v/>
      </c>
      <c r="C47" s="15" t="n">
        <v>1</v>
      </c>
      <c r="D47" s="15" t="n">
        <v>1</v>
      </c>
      <c r="E47" s="15" t="n">
        <v>0</v>
      </c>
      <c r="F47" s="15" t="n">
        <v>1</v>
      </c>
      <c r="G47" s="15" t="inlineStr">
        <is>
          <t>Dealflow Concierge</t>
        </is>
      </c>
      <c r="H47" s="15" t="inlineStr">
        <is>
          <t>Request Founder Materials</t>
        </is>
      </c>
    </row>
    <row r="48" ht="18" customHeight="1" s="12">
      <c r="A48" s="15" t="inlineStr"/>
      <c r="B48" s="16">
        <f>HYPERLINK('Link Config'!$B$2&amp;"plugins/vc/skills/portfolio-onboarding-and-100-day-plan/SKILL.md","portfolio-onboarding-and-100-day-plan")</f>
        <v/>
      </c>
      <c r="C48" s="15" t="n">
        <v>1</v>
      </c>
      <c r="D48" s="15" t="n">
        <v>1</v>
      </c>
      <c r="E48" s="15" t="n">
        <v>1</v>
      </c>
      <c r="F48" s="15" t="n">
        <v>0</v>
      </c>
      <c r="G48" s="15" t="inlineStr">
        <is>
          <t>Legal &amp; Compliance Desk</t>
        </is>
      </c>
      <c r="H48" s="15" t="inlineStr">
        <is>
          <t>Prepare Portfolio Onboarding</t>
        </is>
      </c>
    </row>
    <row r="49" ht="18" customHeight="1" s="12">
      <c r="A49" s="15" t="inlineStr"/>
      <c r="B49" s="16">
        <f>HYPERLINK('Link Config'!$B$2&amp;"plugins/vc/skills/team-evaluation-and-founder-risk/SKILL.md","team-evaluation-and-founder-risk")</f>
        <v/>
      </c>
      <c r="C49" s="15" t="n">
        <v>1</v>
      </c>
      <c r="D49" s="15" t="n">
        <v>1</v>
      </c>
      <c r="E49" s="15" t="n">
        <v>1</v>
      </c>
      <c r="F49" s="15" t="n">
        <v>0</v>
      </c>
      <c r="G49" s="15" t="inlineStr">
        <is>
          <t>Evaluation Analyst</t>
        </is>
      </c>
      <c r="H49" s="15" t="inlineStr">
        <is>
          <t>Run Team Evaluation</t>
        </is>
      </c>
    </row>
    <row r="50" ht="18" customHeight="1" s="12">
      <c r="A50" s="15" t="inlineStr"/>
      <c r="B50" s="16">
        <f>HYPERLINK('Link Config'!$B$2&amp;"plugins/vc/skills/technical-diligence-workstream/SKILL.md","technical-diligence-workstream")</f>
        <v/>
      </c>
      <c r="C50" s="15" t="n">
        <v>1</v>
      </c>
      <c r="D50" s="15" t="n">
        <v>1</v>
      </c>
      <c r="E50" s="15" t="n">
        <v>1</v>
      </c>
      <c r="F50" s="15" t="n">
        <v>0</v>
      </c>
      <c r="G50" s="15" t="inlineStr">
        <is>
          <t>Diligence Analyst</t>
        </is>
      </c>
      <c r="H50" s="15" t="inlineStr">
        <is>
          <t>Run Technical DD</t>
        </is>
      </c>
    </row>
    <row r="51" ht="18" customHeight="1" s="12">
      <c r="A51" s="15" t="inlineStr"/>
      <c r="B51" s="16">
        <f>HYPERLINK('Link Config'!$B$2&amp;"plugins/vc/skills/technical-evaluation-and-product-risk/SKILL.md","technical-evaluation-and-product-risk")</f>
        <v/>
      </c>
      <c r="C51" s="15" t="n">
        <v>1</v>
      </c>
      <c r="D51" s="15" t="n">
        <v>1</v>
      </c>
      <c r="E51" s="15" t="n">
        <v>1</v>
      </c>
      <c r="F51" s="15" t="n">
        <v>0</v>
      </c>
      <c r="G51" s="15" t="inlineStr">
        <is>
          <t>Evaluation Analyst</t>
        </is>
      </c>
      <c r="H51" s="15" t="inlineStr">
        <is>
          <t>Run Technical Evaluation</t>
        </is>
      </c>
    </row>
    <row r="52" ht="18" customHeight="1" s="12">
      <c r="A52" s="15" t="inlineStr"/>
      <c r="B52" s="16">
        <f>HYPERLINK('Link Config'!$B$2&amp;"plugins/vc/skills/term-sheet-negotiation-brief/SKILL.md","term-sheet-negotiation-brief")</f>
        <v/>
      </c>
      <c r="C52" s="15" t="n">
        <v>1</v>
      </c>
      <c r="D52" s="15" t="n">
        <v>1</v>
      </c>
      <c r="E52" s="15" t="n">
        <v>1</v>
      </c>
      <c r="F52" s="15" t="n">
        <v>0</v>
      </c>
      <c r="G52" s="15" t="inlineStr">
        <is>
          <t>Legal &amp; Compliance Desk</t>
        </is>
      </c>
      <c r="H52" s="15" t="inlineStr">
        <is>
          <t>Track Term Sheet Negotiation</t>
        </is>
      </c>
    </row>
    <row r="53" ht="18" customHeight="1" s="12">
      <c r="A53" s="15" t="inlineStr"/>
      <c r="B53" s="16">
        <f>HYPERLINK('Link Config'!$B$2&amp;"plugins/vc/skills/vc-affinity-deal-room-import/SKILL.md","vc-affinity-deal-room-import")</f>
        <v/>
      </c>
      <c r="C53" s="15" t="n">
        <v>1</v>
      </c>
      <c r="D53" s="15" t="n">
        <v>1</v>
      </c>
      <c r="E53" s="15" t="n">
        <v>0</v>
      </c>
      <c r="F53" s="15" t="n">
        <v>1</v>
      </c>
      <c r="G53" s="15" t="inlineStr">
        <is>
          <t>Deal Pipeline Setup Guide</t>
        </is>
      </c>
      <c r="H53" s="15" t="inlineStr">
        <is>
          <t>Import Affinity Deal Pipeline Seed</t>
        </is>
      </c>
    </row>
    <row r="54" ht="18" customHeight="1" s="12">
      <c r="A54" s="15" t="inlineStr"/>
      <c r="B54" s="16">
        <f>HYPERLINK('Link Config'!$B$2&amp;"plugins/vc/skills/vc-apify-linkedin-founder-discovery/SKILL.md","vc-apify-linkedin-founder-discovery")</f>
        <v/>
      </c>
      <c r="C54" s="15" t="n">
        <v>1</v>
      </c>
      <c r="D54" s="15" t="n">
        <v>1</v>
      </c>
      <c r="E54" s="15" t="n">
        <v>0</v>
      </c>
      <c r="F54" s="15" t="n">
        <v>1</v>
      </c>
      <c r="G54" s="15" t="inlineStr">
        <is>
          <t>Sourcing Operator</t>
        </is>
      </c>
      <c r="H54" s="15" t="inlineStr">
        <is>
          <t>Discover LinkedIn Founder Candidates</t>
        </is>
      </c>
    </row>
    <row r="55" ht="18" customHeight="1" s="12">
      <c r="A55" s="15" t="inlineStr"/>
      <c r="B55" s="16">
        <f>HYPERLINK('Link Config'!$B$2&amp;"plugins/vc/skills/vc-apify-x-founder-discovery/SKILL.md","vc-apify-x-founder-discovery")</f>
        <v/>
      </c>
      <c r="C55" s="15" t="n">
        <v>1</v>
      </c>
      <c r="D55" s="15" t="n">
        <v>1</v>
      </c>
      <c r="E55" s="15" t="n">
        <v>0</v>
      </c>
      <c r="F55" s="15" t="n">
        <v>1</v>
      </c>
      <c r="G55" s="15" t="inlineStr">
        <is>
          <t>Sourcing Operator</t>
        </is>
      </c>
      <c r="H55" s="15" t="inlineStr">
        <is>
          <t>Discover X Founder Signals</t>
        </is>
      </c>
    </row>
    <row r="56" ht="18" customHeight="1" s="12">
      <c r="A56" s="15" t="inlineStr"/>
      <c r="B56" s="16">
        <f>HYPERLINK('Link Config'!$B$2&amp;"plugins/vc/skills/vc-github-builder-signal-discovery/SKILL.md","vc-github-builder-signal-discovery")</f>
        <v/>
      </c>
      <c r="C56" s="15" t="n">
        <v>1</v>
      </c>
      <c r="D56" s="15" t="n">
        <v>1</v>
      </c>
      <c r="E56" s="15" t="n">
        <v>0</v>
      </c>
      <c r="F56" s="15" t="n">
        <v>1</v>
      </c>
      <c r="G56" s="15" t="inlineStr">
        <is>
          <t>Sourcing Operator</t>
        </is>
      </c>
      <c r="H56" s="15" t="inlineStr">
        <is>
          <t>Discover GitHub Builder Signals</t>
        </is>
      </c>
    </row>
    <row r="57" ht="18" customHeight="1" s="12">
      <c r="A57" s="15" t="inlineStr"/>
      <c r="B57" s="16">
        <f>HYPERLINK('Link Config'!$B$2&amp;"plugins/vc/skills/vc-linkedin-query-spend-audit/SKILL.md","vc-linkedin-query-spend-audit")</f>
        <v/>
      </c>
      <c r="C57" s="15" t="n">
        <v>1</v>
      </c>
      <c r="D57" s="15" t="n">
        <v>1</v>
      </c>
      <c r="E57" s="15" t="n">
        <v>0</v>
      </c>
      <c r="F57" s="15" t="n">
        <v>1</v>
      </c>
      <c r="G57" s="15" t="inlineStr">
        <is>
          <t>Sourcing Operator</t>
        </is>
      </c>
      <c r="H57" s="15" t="inlineStr">
        <is>
          <t>Audit LinkedIn Query Spend</t>
        </is>
      </c>
    </row>
    <row r="58" ht="18" customHeight="1" s="12">
      <c r="A58" s="15" t="inlineStr"/>
      <c r="B58" s="16">
        <f>HYPERLINK('Link Config'!$B$2&amp;"plugins/vc/skills/vc-manual-tip-ingestion/SKILL.md","vc-manual-tip-ingestion")</f>
        <v/>
      </c>
      <c r="C58" s="15" t="n">
        <v>1</v>
      </c>
      <c r="D58" s="15" t="n">
        <v>1</v>
      </c>
      <c r="E58" s="15" t="n">
        <v>1</v>
      </c>
      <c r="F58" s="15" t="n">
        <v>0</v>
      </c>
      <c r="G58" s="15" t="inlineStr">
        <is>
          <t>Sourcing Operator</t>
        </is>
      </c>
      <c r="H58" s="15" t="inlineStr">
        <is>
          <t>Ingest Manual Sourcing Tip</t>
        </is>
      </c>
    </row>
    <row r="59" ht="18" customHeight="1" s="12">
      <c r="A59" s="15" t="inlineStr"/>
      <c r="B59" s="16">
        <f>HYPERLINK('Link Config'!$B$2&amp;"plugins/vc/skills/vc-origination-deal-room-promotion/SKILL.md","vc-origination-deal-room-promotion")</f>
        <v/>
      </c>
      <c r="C59" s="15" t="n">
        <v>1</v>
      </c>
      <c r="D59" s="15" t="n">
        <v>1</v>
      </c>
      <c r="E59" s="15" t="n">
        <v>1</v>
      </c>
      <c r="F59" s="15" t="n">
        <v>0</v>
      </c>
      <c r="G59" s="15" t="inlineStr">
        <is>
          <t>Sourcing Operator</t>
        </is>
      </c>
      <c r="H59" s="15" t="inlineStr">
        <is>
          <t>Promote Candidate to Deal Pipeline</t>
        </is>
      </c>
    </row>
    <row r="60" ht="18" customHeight="1" s="12">
      <c r="A60" s="15" t="inlineStr"/>
      <c r="B60" s="16">
        <f>HYPERLINK('Link Config'!$B$2&amp;"plugins/vc/skills/vc-origination-ic-summary-preparation/SKILL.md","vc-origination-ic-summary-preparation")</f>
        <v/>
      </c>
      <c r="C60" s="15" t="n">
        <v>1</v>
      </c>
      <c r="D60" s="15" t="n">
        <v>1</v>
      </c>
      <c r="E60" s="15" t="n">
        <v>1</v>
      </c>
      <c r="F60" s="15" t="n">
        <v>0</v>
      </c>
      <c r="G60" s="15" t="inlineStr">
        <is>
          <t>IC Prep Producer</t>
        </is>
      </c>
      <c r="H60" s="15" t="inlineStr">
        <is>
          <t>Prepare Sourcing IC Summary</t>
        </is>
      </c>
    </row>
    <row r="61" ht="18" customHeight="1" s="12">
      <c r="A61" s="15" t="inlineStr"/>
      <c r="B61" s="16">
        <f>HYPERLINK('Link Config'!$B$2&amp;"plugins/vc/skills/vc-outreach-draft-queue/SKILL.md","vc-outreach-draft-queue")</f>
        <v/>
      </c>
      <c r="C61" s="15" t="n">
        <v>1</v>
      </c>
      <c r="D61" s="15" t="n">
        <v>1</v>
      </c>
      <c r="E61" s="15" t="n">
        <v>0</v>
      </c>
      <c r="F61" s="15" t="n">
        <v>1</v>
      </c>
      <c r="G61" s="15" t="inlineStr">
        <is>
          <t>Sourcing Operator</t>
        </is>
      </c>
      <c r="H61" s="15" t="inlineStr">
        <is>
          <t>Prepare Outreach Draft Queue</t>
        </is>
      </c>
    </row>
    <row r="62" ht="18" customHeight="1" s="12">
      <c r="A62" s="15" t="inlineStr"/>
      <c r="B62" s="16">
        <f>HYPERLINK('Link Config'!$B$2&amp;"plugins/vc/skills/vc-portfolio-overlap-review/SKILL.md","vc-portfolio-overlap-review")</f>
        <v/>
      </c>
      <c r="C62" s="15" t="n">
        <v>1</v>
      </c>
      <c r="D62" s="15" t="n">
        <v>1</v>
      </c>
      <c r="E62" s="15" t="n">
        <v>0</v>
      </c>
      <c r="F62" s="15" t="n">
        <v>1</v>
      </c>
      <c r="G62" s="15" t="inlineStr">
        <is>
          <t>Sourcing Operator</t>
        </is>
      </c>
      <c r="H62" s="15" t="inlineStr">
        <is>
          <t>Review Portfolio Overlap</t>
        </is>
      </c>
    </row>
    <row r="63" ht="18" customHeight="1" s="12">
      <c r="A63" s="15" t="inlineStr"/>
      <c r="B63" s="16">
        <f>HYPERLINK('Link Config'!$B$2&amp;"plugins/vc/skills/vc-reddit-builder-signal-discovery/SKILL.md","vc-reddit-builder-signal-discovery")</f>
        <v/>
      </c>
      <c r="C63" s="15" t="n">
        <v>1</v>
      </c>
      <c r="D63" s="15" t="n">
        <v>1</v>
      </c>
      <c r="E63" s="15" t="n">
        <v>0</v>
      </c>
      <c r="F63" s="15" t="n">
        <v>1</v>
      </c>
      <c r="G63" s="15" t="inlineStr">
        <is>
          <t>Sourcing Operator</t>
        </is>
      </c>
      <c r="H63" s="15" t="inlineStr">
        <is>
          <t>Discover Reddit Builder Signals</t>
        </is>
      </c>
    </row>
    <row r="64" ht="18" customHeight="1" s="12">
      <c r="A64" s="15" t="inlineStr"/>
      <c r="B64" s="16">
        <f>HYPERLINK('Link Config'!$B$2&amp;"plugins/vc/skills/vc-reddit-inbox-approval/SKILL.md","vc-reddit-inbox-approval")</f>
        <v/>
      </c>
      <c r="C64" s="15" t="n">
        <v>1</v>
      </c>
      <c r="D64" s="15" t="n">
        <v>1</v>
      </c>
      <c r="E64" s="15" t="n">
        <v>1</v>
      </c>
      <c r="F64" s="15" t="n">
        <v>0</v>
      </c>
      <c r="G64" s="15" t="inlineStr">
        <is>
          <t>Sourcing Operator</t>
        </is>
      </c>
      <c r="H64" s="15" t="inlineStr">
        <is>
          <t>Review Reddit Candidate Inbox</t>
        </is>
      </c>
    </row>
    <row r="65" ht="18" customHeight="1" s="12">
      <c r="A65" s="15" t="inlineStr"/>
      <c r="B65" s="16">
        <f>HYPERLINK('Link Config'!$B$2&amp;"plugins/vc/skills/vc-source-error-and-spend-audit/SKILL.md","vc-source-error-and-spend-audit")</f>
        <v/>
      </c>
      <c r="C65" s="15" t="n">
        <v>1</v>
      </c>
      <c r="D65" s="15" t="n">
        <v>1</v>
      </c>
      <c r="E65" s="15" t="n">
        <v>0</v>
      </c>
      <c r="F65" s="15" t="n">
        <v>1</v>
      </c>
      <c r="G65" s="15" t="inlineStr">
        <is>
          <t>Sourcing Operator</t>
        </is>
      </c>
      <c r="H65" s="15" t="inlineStr">
        <is>
          <t>Review Source Errors and Spend</t>
        </is>
      </c>
    </row>
    <row r="66" ht="18" customHeight="1" s="12">
      <c r="A66" s="15" t="inlineStr"/>
      <c r="B66" s="16">
        <f>HYPERLINK('Link Config'!$B$2&amp;"plugins/vc/skills/vc-sourcing-candidate-enrichment/SKILL.md","vc-sourcing-candidate-enrichment")</f>
        <v/>
      </c>
      <c r="C66" s="15" t="n">
        <v>1</v>
      </c>
      <c r="D66" s="15" t="n">
        <v>1</v>
      </c>
      <c r="E66" s="15" t="n">
        <v>1</v>
      </c>
      <c r="F66" s="15" t="n">
        <v>0</v>
      </c>
      <c r="G66" s="15" t="inlineStr">
        <is>
          <t>Sourcing Operator</t>
        </is>
      </c>
      <c r="H66" s="15" t="inlineStr">
        <is>
          <t>Enrich Sourcing Candidates</t>
        </is>
      </c>
    </row>
    <row r="67" ht="18" customHeight="1" s="12">
      <c r="A67" s="15" t="inlineStr"/>
      <c r="B67" s="16">
        <f>HYPERLINK('Link Config'!$B$2&amp;"plugins/vc/skills/vc-sourcing-digest-generation/SKILL.md","vc-sourcing-digest-generation")</f>
        <v/>
      </c>
      <c r="C67" s="15" t="n">
        <v>1</v>
      </c>
      <c r="D67" s="15" t="n">
        <v>1</v>
      </c>
      <c r="E67" s="15" t="n">
        <v>0</v>
      </c>
      <c r="F67" s="15" t="n">
        <v>1</v>
      </c>
      <c r="G67" s="15" t="inlineStr">
        <is>
          <t>Sourcing Operator</t>
        </is>
      </c>
      <c r="H67" s="15" t="inlineStr">
        <is>
          <t>Generate Sourcing Digest</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Config'!$B$2&amp;"plugins/vc/alludium/documents/origination/sourcing-ic-summary-template.md","Sourcing IC Summary Template")</f>
        <v/>
      </c>
      <c r="B52" s="15" t="inlineStr">
        <is>
          <t>template</t>
        </is>
      </c>
      <c r="C52" s="15" t="inlineStr">
        <is>
          <t>vc_origination_pipeline</t>
        </is>
      </c>
      <c r="D52" s="15" t="inlineStr">
        <is>
          <t>Reusable lightweight IC-style summary for sourced candidates before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19"/>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Config'!$B$2&amp;"plugins/vc/tasks/affinity-setup.md","Set Up Affinity for Deal Pipelines")</f>
        <v/>
      </c>
      <c r="D3" s="16">
        <f>HYPERLINK('Link Config'!$B$2&amp;"plugins/vc/skills/vc-affinity-discovery/SKILL.md","vc-affinity-discovery")</f>
        <v/>
      </c>
    </row>
    <row r="4" ht="18" customHeight="1" s="12">
      <c r="A4" s="15" t="inlineStr">
        <is>
          <t>Deal Pipeline</t>
        </is>
      </c>
      <c r="B4" s="15" t="inlineStr">
        <is>
          <t>Setup</t>
        </is>
      </c>
      <c r="C4" s="16">
        <f>HYPERLINK('Link Config'!$B$2&amp;"plugins/vc/tasks/affinity-setup.md","Set Up Affinity for Deal Pipelines")</f>
        <v/>
      </c>
      <c r="D4" s="16">
        <f>HYPERLINK('Link Config'!$B$2&amp;"plugins/vc/skills/vc-affinity-sync-read/SKILL.md","vc-affinity-sync-read")</f>
        <v/>
      </c>
    </row>
    <row r="5" ht="18" customHeight="1" s="12">
      <c r="A5" s="15" t="inlineStr">
        <is>
          <t>Deal Pipeline</t>
        </is>
      </c>
      <c r="B5" s="15" t="inlineStr">
        <is>
          <t>Setup</t>
        </is>
      </c>
      <c r="C5" s="16">
        <f>HYPERLINK('Link Config'!$B$2&amp;"plugins/vc/tasks/affinity-setup.md","Set Up Affinity for Deal Pipelines")</f>
        <v/>
      </c>
      <c r="D5" s="16">
        <f>HYPERLINK('Link Config'!$B$2&amp;"plugins/vc/skills/vc-affinity-sync-write/SKILL.md","vc-affinity-sync-write")</f>
        <v/>
      </c>
    </row>
    <row r="6" ht="18" customHeight="1" s="12">
      <c r="A6" s="15" t="inlineStr">
        <is>
          <t>Deal Pipeline</t>
        </is>
      </c>
      <c r="B6" s="15" t="inlineStr">
        <is>
          <t>Setup</t>
        </is>
      </c>
      <c r="C6" s="16">
        <f>HYPERLINK('Link Config'!$B$2&amp;"plugins/vc/tasks/affinity-setup.md","Set Up Affinity for Deal Pipelines")</f>
        <v/>
      </c>
      <c r="D6" s="16">
        <f>HYPERLINK('Link Config'!$B$2&amp;"plugins/vc/skills/citation-enforcement/SKILL.md","citation-enforcement")</f>
        <v/>
      </c>
    </row>
    <row r="7" ht="18" customHeight="1" s="12">
      <c r="A7" s="15" t="inlineStr">
        <is>
          <t>Deal Pipeline</t>
        </is>
      </c>
      <c r="B7" s="15" t="inlineStr">
        <is>
          <t>Setup</t>
        </is>
      </c>
      <c r="C7" s="16">
        <f>HYPERLINK('Link Config'!$B$2&amp;"plugins/vc/tasks/affinity-deal-room-import.md","Import Affinity Deal Pipeline Seed")</f>
        <v/>
      </c>
      <c r="D7" s="16">
        <f>HYPERLINK('Link Config'!$B$2&amp;"plugins/vc/skills/vc-affinity-deal-room-import/SKILL.md","vc-affinity-deal-room-import")</f>
        <v/>
      </c>
    </row>
    <row r="8" ht="18" customHeight="1" s="12">
      <c r="A8" s="15" t="inlineStr">
        <is>
          <t>Deal Pipeline</t>
        </is>
      </c>
      <c r="B8" s="15" t="inlineStr">
        <is>
          <t>Setup</t>
        </is>
      </c>
      <c r="C8" s="16">
        <f>HYPERLINK('Link Config'!$B$2&amp;"plugins/vc/tasks/affinity-deal-room-import.md","Import Affinity Deal Pipeline Seed")</f>
        <v/>
      </c>
      <c r="D8" s="16">
        <f>HYPERLINK('Link Config'!$B$2&amp;"plugins/vc/skills/vc-affinity-sync-read/SKILL.md","vc-affinity-sync-read")</f>
        <v/>
      </c>
    </row>
    <row r="9" ht="18" customHeight="1" s="12">
      <c r="A9" s="15" t="inlineStr">
        <is>
          <t>Deal Pipeline</t>
        </is>
      </c>
      <c r="B9" s="15" t="inlineStr">
        <is>
          <t>Setup</t>
        </is>
      </c>
      <c r="C9" s="16">
        <f>HYPERLINK('Link Config'!$B$2&amp;"plugins/vc/tasks/affinity-deal-room-import.md","Import Affinity Deal Pipeline Seed")</f>
        <v/>
      </c>
      <c r="D9" s="16">
        <f>HYPERLINK('Link Config'!$B$2&amp;"plugins/vc/skills/deal-room-setup-and-source-ingestion/SKILL.md","deal-room-setup-and-source-ingestion")</f>
        <v/>
      </c>
    </row>
    <row r="10" ht="18" customHeight="1" s="12">
      <c r="A10" s="15" t="inlineStr">
        <is>
          <t>Deal Pipeline</t>
        </is>
      </c>
      <c r="B10" s="15" t="inlineStr">
        <is>
          <t>Setup</t>
        </is>
      </c>
      <c r="C10" s="16">
        <f>HYPERLINK('Link Config'!$B$2&amp;"plugins/vc/tasks/affinity-deal-room-import.md","Import Affinity Deal Pipeline Seed")</f>
        <v/>
      </c>
      <c r="D10" s="16">
        <f>HYPERLINK('Link Config'!$B$2&amp;"plugins/vc/skills/citation-enforcement/SKILL.md","citation-enforcement")</f>
        <v/>
      </c>
    </row>
    <row r="11" ht="18" customHeight="1" s="12">
      <c r="A11" s="15" t="inlineStr">
        <is>
          <t>Deal Pipeline</t>
        </is>
      </c>
      <c r="B11" s="15" t="inlineStr">
        <is>
          <t>General</t>
        </is>
      </c>
      <c r="C11" s="16">
        <f>HYPERLINK('Link Config'!$B$2&amp;"plugins/vc/tasks/prepare-initial-call.md","Prepare Meeting")</f>
        <v/>
      </c>
      <c r="D11" s="16">
        <f>HYPERLINK('Link Config'!$B$2&amp;"plugins/vc/skills/meeting-prep-and-summary/SKILL.md","meeting-prep-and-summary")</f>
        <v/>
      </c>
    </row>
    <row r="12" ht="18" customHeight="1" s="12">
      <c r="A12" s="15" t="inlineStr">
        <is>
          <t>Deal Pipeline</t>
        </is>
      </c>
      <c r="B12" s="15" t="inlineStr">
        <is>
          <t>General</t>
        </is>
      </c>
      <c r="C12" s="16">
        <f>HYPERLINK('Link Config'!$B$2&amp;"plugins/vc/tasks/prepare-initial-call.md","Prepare Meeting")</f>
        <v/>
      </c>
      <c r="D12" s="16">
        <f>HYPERLINK('Link Config'!$B$2&amp;"plugins/vc/skills/company-research-and-enrichment/SKILL.md","company-research-and-enrichment")</f>
        <v/>
      </c>
    </row>
    <row r="13" ht="18" customHeight="1" s="12">
      <c r="A13" s="15" t="inlineStr">
        <is>
          <t>Deal Pipeline</t>
        </is>
      </c>
      <c r="B13" s="15" t="inlineStr">
        <is>
          <t>General</t>
        </is>
      </c>
      <c r="C13" s="16">
        <f>HYPERLINK('Link Config'!$B$2&amp;"plugins/vc/tasks/prepare-initial-call.md","Prepare Meeting")</f>
        <v/>
      </c>
      <c r="D13" s="16">
        <f>HYPERLINK('Link Config'!$B$2&amp;"plugins/vc/skills/citation-enforcement/SKILL.md","citation-enforcement")</f>
        <v/>
      </c>
    </row>
    <row r="14" ht="18" customHeight="1" s="12">
      <c r="A14" s="15" t="inlineStr">
        <is>
          <t>Deal Pipeline</t>
        </is>
      </c>
      <c r="B14" s="15" t="inlineStr">
        <is>
          <t>General</t>
        </is>
      </c>
      <c r="C14" s="16">
        <f>HYPERLINK('Link Config'!$B$2&amp;"plugins/vc/tasks/prepare-initial-call.md","Prepare Meeting")</f>
        <v/>
      </c>
      <c r="D14" s="16">
        <f>HYPERLINK('Link Config'!$B$2&amp;"plugins/vc/skills/pitch-deck-explainer/SKILL.md","pitch-deck-explainer")</f>
        <v/>
      </c>
    </row>
    <row r="15" ht="18" customHeight="1" s="12">
      <c r="A15" s="15" t="inlineStr">
        <is>
          <t>Deal Pipeline</t>
        </is>
      </c>
      <c r="B15" s="15" t="inlineStr">
        <is>
          <t>General</t>
        </is>
      </c>
      <c r="C15" s="16">
        <f>HYPERLINK('Link Config'!$B$2&amp;"plugins/vc/tasks/request-founder-materials.md","Request Founder Materials")</f>
        <v/>
      </c>
      <c r="D15" s="16">
        <f>HYPERLINK('Link Config'!$B$2&amp;"plugins/vc/skills/citation-enforcement/SKILL.md","citation-enforcement")</f>
        <v/>
      </c>
    </row>
    <row r="16" ht="18" customHeight="1" s="12">
      <c r="A16" s="15" t="inlineStr">
        <is>
          <t>Deal Pipeline</t>
        </is>
      </c>
      <c r="B16" s="15" t="inlineStr">
        <is>
          <t>General</t>
        </is>
      </c>
      <c r="C16" s="16">
        <f>HYPERLINK('Link Config'!$B$2&amp;"plugins/vc/tasks/request-founder-materials.md","Request Founder Materials")</f>
        <v/>
      </c>
      <c r="D16" s="16">
        <f>HYPERLINK('Link Config'!$B$2&amp;"plugins/vc/skills/founder-materials-request/SKILL.md","founder-materials-request")</f>
        <v/>
      </c>
    </row>
    <row r="17" ht="18" customHeight="1" s="12">
      <c r="A17" s="15" t="inlineStr">
        <is>
          <t>Deal Pipeline</t>
        </is>
      </c>
      <c r="B17" s="15" t="inlineStr">
        <is>
          <t>General</t>
        </is>
      </c>
      <c r="C17" s="16">
        <f>HYPERLINK('Link Config'!$B$2&amp;"plugins/vc/tasks/summarize-initial-call.md","Summarize Meeting Records")</f>
        <v/>
      </c>
      <c r="D17" s="16">
        <f>HYPERLINK('Link Config'!$B$2&amp;"plugins/vc/skills/meeting-prep-and-summary/SKILL.md","meeting-prep-and-summary")</f>
        <v/>
      </c>
    </row>
    <row r="18" ht="18" customHeight="1" s="12">
      <c r="A18" s="15" t="inlineStr">
        <is>
          <t>Deal Pipeline</t>
        </is>
      </c>
      <c r="B18" s="15" t="inlineStr">
        <is>
          <t>General</t>
        </is>
      </c>
      <c r="C18" s="16">
        <f>HYPERLINK('Link Config'!$B$2&amp;"plugins/vc/tasks/summarize-initial-call.md","Summarize Meeting Records")</f>
        <v/>
      </c>
      <c r="D18" s="16">
        <f>HYPERLINK('Link Config'!$B$2&amp;"plugins/vc/skills/citation-enforcement/SKILL.md","citation-enforcement")</f>
        <v/>
      </c>
    </row>
    <row r="19" ht="18" customHeight="1" s="12">
      <c r="A19" s="15" t="inlineStr">
        <is>
          <t>Deal Pipeline</t>
        </is>
      </c>
      <c r="B19" s="15" t="inlineStr">
        <is>
          <t>General</t>
        </is>
      </c>
      <c r="C19" s="16">
        <f>HYPERLINK('Link Config'!$B$2&amp;"plugins/vc/tasks/summarize-initial-call.md","Summarize Meeting Records")</f>
        <v/>
      </c>
      <c r="D19" s="16">
        <f>HYPERLINK('Link Config'!$B$2&amp;"plugins/vc/skills/vc-task-and-next-step-generation/SKILL.md","vc-task-and-next-step-generation")</f>
        <v/>
      </c>
    </row>
    <row r="20" ht="18" customHeight="1" s="12">
      <c r="A20" s="15" t="inlineStr">
        <is>
          <t>Deal Pipeline</t>
        </is>
      </c>
      <c r="B20" s="15" t="inlineStr">
        <is>
          <t>General</t>
        </is>
      </c>
      <c r="C20" s="16">
        <f>HYPERLINK('Link Config'!$B$2&amp;"plugins/vc/tasks/review-opportunity-status.md","Review Opportunity Status")</f>
        <v/>
      </c>
      <c r="D20" s="16">
        <f>HYPERLINK('Link Config'!$B$2&amp;"plugins/vc/skills/citation-enforcement/SKILL.md","citation-enforcement")</f>
        <v/>
      </c>
    </row>
    <row r="21" ht="18" customHeight="1" s="12">
      <c r="A21" s="15" t="inlineStr">
        <is>
          <t>Deal Pipeline</t>
        </is>
      </c>
      <c r="B21" s="15" t="inlineStr">
        <is>
          <t>General</t>
        </is>
      </c>
      <c r="C21" s="16">
        <f>HYPERLINK('Link Config'!$B$2&amp;"plugins/vc/tasks/review-opportunity-status.md","Review Opportunity Status")</f>
        <v/>
      </c>
      <c r="D21" s="16">
        <f>HYPERLINK('Link Config'!$B$2&amp;"plugins/vc/skills/vc-task-and-next-step-generation/SKILL.md","vc-task-and-next-step-generation")</f>
        <v/>
      </c>
    </row>
    <row r="22" ht="18" customHeight="1" s="12">
      <c r="A22" s="15" t="inlineStr">
        <is>
          <t>Deal Pipeline</t>
        </is>
      </c>
      <c r="B22" s="15" t="inlineStr">
        <is>
          <t>Management</t>
        </is>
      </c>
      <c r="C22" s="16">
        <f>HYPERLINK('Link Config'!$B$2&amp;"plugins/vc/tasks/affinity-sync-read.md","Preview Affinity Pipeline Import")</f>
        <v/>
      </c>
      <c r="D22" s="16">
        <f>HYPERLINK('Link Config'!$B$2&amp;"plugins/vc/skills/vc-affinity-sync-read/SKILL.md","vc-affinity-sync-read")</f>
        <v/>
      </c>
    </row>
    <row r="23" ht="18" customHeight="1" s="12">
      <c r="A23" s="15" t="inlineStr">
        <is>
          <t>Deal Pipeline</t>
        </is>
      </c>
      <c r="B23" s="15" t="inlineStr">
        <is>
          <t>Management</t>
        </is>
      </c>
      <c r="C23" s="16">
        <f>HYPERLINK('Link Config'!$B$2&amp;"plugins/vc/tasks/affinity-sync-read.md","Preview Affinity Pipeline Import")</f>
        <v/>
      </c>
      <c r="D23" s="16">
        <f>HYPERLINK('Link Config'!$B$2&amp;"plugins/vc/skills/citation-enforcement/SKILL.md","citation-enforcement")</f>
        <v/>
      </c>
    </row>
    <row r="24" ht="18" customHeight="1" s="12">
      <c r="A24" s="15" t="inlineStr">
        <is>
          <t>Deal Pipeline</t>
        </is>
      </c>
      <c r="B24" s="15" t="inlineStr">
        <is>
          <t>Management</t>
        </is>
      </c>
      <c r="C24" s="16">
        <f>HYPERLINK('Link Config'!$B$2&amp;"plugins/vc/tasks/affinity-sync-write.md","Draft Affinity Write-Back Proposals")</f>
        <v/>
      </c>
      <c r="D24" s="16">
        <f>HYPERLINK('Link Config'!$B$2&amp;"plugins/vc/skills/vc-affinity-sync-write/SKILL.md","vc-affinity-sync-write")</f>
        <v/>
      </c>
    </row>
    <row r="25" ht="18" customHeight="1" s="12">
      <c r="A25" s="15" t="inlineStr">
        <is>
          <t>Deal Pipeline</t>
        </is>
      </c>
      <c r="B25" s="15" t="inlineStr">
        <is>
          <t>Management</t>
        </is>
      </c>
      <c r="C25" s="16">
        <f>HYPERLINK('Link Config'!$B$2&amp;"plugins/vc/tasks/affinity-sync-write.md","Draft Affinity Write-Back Proposals")</f>
        <v/>
      </c>
      <c r="D25" s="16">
        <f>HYPERLINK('Link Config'!$B$2&amp;"plugins/vc/skills/citation-enforcement/SKILL.md","citation-enforcement")</f>
        <v/>
      </c>
    </row>
    <row r="26" ht="18" customHeight="1" s="12">
      <c r="A26" s="15" t="inlineStr">
        <is>
          <t>Deal Pipeline</t>
        </is>
      </c>
      <c r="B26" s="15" t="inlineStr">
        <is>
          <t>Management</t>
        </is>
      </c>
      <c r="C26" s="16">
        <f>HYPERLINK('Link Config'!$B$2&amp;"plugins/vc/tasks/google-drive-sync-write.md","Draft Google Drive File Proposals")</f>
        <v/>
      </c>
      <c r="D26" s="16">
        <f>HYPERLINK('Link Config'!$B$2&amp;"plugins/vc/skills/vc-google-drive-sync-write/SKILL.md","vc-google-drive-sync-write")</f>
        <v/>
      </c>
    </row>
    <row r="27" ht="18" customHeight="1" s="12">
      <c r="A27" s="15" t="inlineStr">
        <is>
          <t>Deal Pipeline</t>
        </is>
      </c>
      <c r="B27" s="15" t="inlineStr">
        <is>
          <t>Management</t>
        </is>
      </c>
      <c r="C27" s="16">
        <f>HYPERLINK('Link Config'!$B$2&amp;"plugins/vc/tasks/google-drive-sync-write.md","Draft Google Drive File Proposals")</f>
        <v/>
      </c>
      <c r="D27" s="16">
        <f>HYPERLINK('Link Config'!$B$2&amp;"plugins/vc/skills/citation-enforcement/SKILL.md","citation-enforcement")</f>
        <v/>
      </c>
    </row>
    <row r="28" ht="18" customHeight="1" s="12">
      <c r="A28" s="15" t="inlineStr">
        <is>
          <t>Deal Pipeline</t>
        </is>
      </c>
      <c r="B28" s="15" t="inlineStr">
        <is>
          <t>Management</t>
        </is>
      </c>
      <c r="C28" s="16">
        <f>HYPERLINK('Link Config'!$B$2&amp;"plugins/vc/tasks/notion-sync-write.md","Draft Notion Update Proposals")</f>
        <v/>
      </c>
      <c r="D28" s="16">
        <f>HYPERLINK('Link Config'!$B$2&amp;"plugins/vc/skills/vc-notion-sync-write/SKILL.md","vc-notion-sync-write")</f>
        <v/>
      </c>
    </row>
    <row r="29" ht="18" customHeight="1" s="12">
      <c r="A29" s="15" t="inlineStr">
        <is>
          <t>Deal Pipeline</t>
        </is>
      </c>
      <c r="B29" s="15" t="inlineStr">
        <is>
          <t>Management</t>
        </is>
      </c>
      <c r="C29" s="16">
        <f>HYPERLINK('Link Config'!$B$2&amp;"plugins/vc/tasks/notion-sync-write.md","Draft Notion Update Proposals")</f>
        <v/>
      </c>
      <c r="D29" s="16">
        <f>HYPERLINK('Link Config'!$B$2&amp;"plugins/vc/skills/citation-enforcement/SKILL.md","citation-enforcement")</f>
        <v/>
      </c>
    </row>
    <row r="30" ht="18" customHeight="1" s="12">
      <c r="A30" s="15" t="inlineStr">
        <is>
          <t>Deal Pipeline</t>
        </is>
      </c>
      <c r="B30" s="15" t="inlineStr">
        <is>
          <t>Management</t>
        </is>
      </c>
      <c r="C30" s="16">
        <f>HYPERLINK('Link Config'!$B$2&amp;"plugins/vc/tasks/slack-sync-write.md","Draft Slack Handoff Notifications")</f>
        <v/>
      </c>
      <c r="D30" s="16">
        <f>HYPERLINK('Link Config'!$B$2&amp;"plugins/vc/skills/vc-slack-sync-write/SKILL.md","vc-slack-sync-write")</f>
        <v/>
      </c>
    </row>
    <row r="31" ht="18" customHeight="1" s="12">
      <c r="A31" s="15" t="inlineStr">
        <is>
          <t>Deal Pipeline</t>
        </is>
      </c>
      <c r="B31" s="15" t="inlineStr">
        <is>
          <t>Management</t>
        </is>
      </c>
      <c r="C31" s="16">
        <f>HYPERLINK('Link Config'!$B$2&amp;"plugins/vc/tasks/slack-sync-write.md","Draft Slack Handoff Notifications")</f>
        <v/>
      </c>
      <c r="D31" s="16">
        <f>HYPERLINK('Link Config'!$B$2&amp;"plugins/vc/skills/citation-enforcement/SKILL.md","citation-enforcement")</f>
        <v/>
      </c>
    </row>
    <row r="32" ht="18" customHeight="1" s="12">
      <c r="A32" s="15" t="inlineStr">
        <is>
          <t>Deal Pipeline</t>
        </is>
      </c>
      <c r="B32" s="15" t="inlineStr">
        <is>
          <t>Management</t>
        </is>
      </c>
      <c r="C32" s="16">
        <f>HYPERLINK('Link Config'!$B$2&amp;"plugins/vc/tasks/affinity-discovery.md","Explore Affinity Lists and Stages")</f>
        <v/>
      </c>
      <c r="D32" s="16">
        <f>HYPERLINK('Link Config'!$B$2&amp;"plugins/vc/skills/vc-affinity-discovery/SKILL.md","vc-affinity-discovery")</f>
        <v/>
      </c>
    </row>
    <row r="33" ht="18" customHeight="1" s="12">
      <c r="A33" s="15" t="inlineStr">
        <is>
          <t>Deal Pipeline</t>
        </is>
      </c>
      <c r="B33" s="15" t="inlineStr">
        <is>
          <t>Management</t>
        </is>
      </c>
      <c r="C33" s="16">
        <f>HYPERLINK('Link Config'!$B$2&amp;"plugins/vc/tasks/affinity-discovery.md","Explore Affinity Lists and Stages")</f>
        <v/>
      </c>
      <c r="D33" s="16">
        <f>HYPERLINK('Link Config'!$B$2&amp;"plugins/vc/skills/citation-enforcement/SKILL.md","citation-enforcement")</f>
        <v/>
      </c>
    </row>
    <row r="34" ht="18" customHeight="1" s="12">
      <c r="A34" s="15" t="inlineStr">
        <is>
          <t>Deal Pipeline</t>
        </is>
      </c>
      <c r="B34" s="15" t="inlineStr">
        <is>
          <t>Management</t>
        </is>
      </c>
      <c r="C34" s="16">
        <f>HYPERLINK('Link Config'!$B$2&amp;"plugins/vc/tasks/google-drive-discovery.md","Explore Google Drive Sources")</f>
        <v/>
      </c>
      <c r="D34" s="16">
        <f>HYPERLINK('Link Config'!$B$2&amp;"plugins/vc/skills/vc-google-drive-discovery/SKILL.md","vc-google-drive-discovery")</f>
        <v/>
      </c>
    </row>
    <row r="35" ht="18" customHeight="1" s="12">
      <c r="A35" s="15" t="inlineStr">
        <is>
          <t>Deal Pipeline</t>
        </is>
      </c>
      <c r="B35" s="15" t="inlineStr">
        <is>
          <t>Management</t>
        </is>
      </c>
      <c r="C35" s="16">
        <f>HYPERLINK('Link Config'!$B$2&amp;"plugins/vc/tasks/google-drive-discovery.md","Explore Google Drive Sources")</f>
        <v/>
      </c>
      <c r="D35" s="16">
        <f>HYPERLINK('Link Config'!$B$2&amp;"plugins/vc/skills/citation-enforcement/SKILL.md","citation-enforcement")</f>
        <v/>
      </c>
    </row>
    <row r="36" ht="18" customHeight="1" s="12">
      <c r="A36" s="15" t="inlineStr">
        <is>
          <t>Deal Pipeline</t>
        </is>
      </c>
      <c r="B36" s="15" t="inlineStr">
        <is>
          <t>Management</t>
        </is>
      </c>
      <c r="C36" s="16">
        <f>HYPERLINK('Link Config'!$B$2&amp;"plugins/vc/tasks/harmonic-discovery.md","Explore Harmonic Source Scopes")</f>
        <v/>
      </c>
      <c r="D36" s="16">
        <f>HYPERLINK('Link Config'!$B$2&amp;"plugins/vc/skills/vc-harmonic-discovery/SKILL.md","vc-harmonic-discovery")</f>
        <v/>
      </c>
    </row>
    <row r="37" ht="18" customHeight="1" s="12">
      <c r="A37" s="15" t="inlineStr">
        <is>
          <t>Deal Pipeline</t>
        </is>
      </c>
      <c r="B37" s="15" t="inlineStr">
        <is>
          <t>Management</t>
        </is>
      </c>
      <c r="C37" s="16">
        <f>HYPERLINK('Link Config'!$B$2&amp;"plugins/vc/tasks/harmonic-discovery.md","Explore Harmonic Source Scopes")</f>
        <v/>
      </c>
      <c r="D37" s="16">
        <f>HYPERLINK('Link Config'!$B$2&amp;"plugins/vc/skills/citation-enforcement/SKILL.md","citation-enforcement")</f>
        <v/>
      </c>
    </row>
    <row r="38" ht="18" customHeight="1" s="12">
      <c r="A38" s="15" t="inlineStr">
        <is>
          <t>Deal Pipeline</t>
        </is>
      </c>
      <c r="B38" s="15" t="inlineStr">
        <is>
          <t>Management</t>
        </is>
      </c>
      <c r="C38" s="16">
        <f>HYPERLINK('Link Config'!$B$2&amp;"plugins/vc/tasks/notion-discovery.md","Explore Notion Pages and Databases")</f>
        <v/>
      </c>
      <c r="D38" s="16">
        <f>HYPERLINK('Link Config'!$B$2&amp;"plugins/vc/skills/vc-notion-discovery/SKILL.md","vc-notion-discovery")</f>
        <v/>
      </c>
    </row>
    <row r="39" ht="18" customHeight="1" s="12">
      <c r="A39" s="15" t="inlineStr">
        <is>
          <t>Deal Pipeline</t>
        </is>
      </c>
      <c r="B39" s="15" t="inlineStr">
        <is>
          <t>Management</t>
        </is>
      </c>
      <c r="C39" s="16">
        <f>HYPERLINK('Link Config'!$B$2&amp;"plugins/vc/tasks/notion-discovery.md","Explore Notion Pages and Databases")</f>
        <v/>
      </c>
      <c r="D39" s="16">
        <f>HYPERLINK('Link Config'!$B$2&amp;"plugins/vc/skills/citation-enforcement/SKILL.md","citation-enforcement")</f>
        <v/>
      </c>
    </row>
    <row r="40" ht="18" customHeight="1" s="12">
      <c r="A40" s="15" t="inlineStr">
        <is>
          <t>Deal Pipeline</t>
        </is>
      </c>
      <c r="B40" s="15" t="inlineStr">
        <is>
          <t>Management</t>
        </is>
      </c>
      <c r="C40" s="16">
        <f>HYPERLINK('Link Config'!$B$2&amp;"plugins/vc/tasks/slack-discovery.md","Explore Slack Channels for VC Context")</f>
        <v/>
      </c>
      <c r="D40" s="16">
        <f>HYPERLINK('Link Config'!$B$2&amp;"plugins/vc/skills/vc-slack-discovery/SKILL.md","vc-slack-discovery")</f>
        <v/>
      </c>
    </row>
    <row r="41" ht="18" customHeight="1" s="12">
      <c r="A41" s="15" t="inlineStr">
        <is>
          <t>Deal Pipeline</t>
        </is>
      </c>
      <c r="B41" s="15" t="inlineStr">
        <is>
          <t>Management</t>
        </is>
      </c>
      <c r="C41" s="16">
        <f>HYPERLINK('Link Config'!$B$2&amp;"plugins/vc/tasks/slack-discovery.md","Explore Slack Channels for VC Context")</f>
        <v/>
      </c>
      <c r="D41" s="16">
        <f>HYPERLINK('Link Config'!$B$2&amp;"plugins/vc/skills/citation-enforcement/SKILL.md","citation-enforcement")</f>
        <v/>
      </c>
    </row>
    <row r="42" ht="18" customHeight="1" s="12">
      <c r="A42" s="15" t="inlineStr">
        <is>
          <t>Deal Pipeline</t>
        </is>
      </c>
      <c r="B42" s="15" t="inlineStr">
        <is>
          <t>Management</t>
        </is>
      </c>
      <c r="C42" s="16">
        <f>HYPERLINK('Link Config'!$B$2&amp;"plugins/vc/tasks/prepare-deal-flow-agenda.md","Prepare Deal Flow Agenda")</f>
        <v/>
      </c>
      <c r="D42" s="16">
        <f>HYPERLINK('Link Config'!$B$2&amp;"plugins/vc/skills/citation-enforcement/SKILL.md","citation-enforcement")</f>
        <v/>
      </c>
    </row>
    <row r="43" ht="18" customHeight="1" s="12">
      <c r="A43" s="15" t="inlineStr">
        <is>
          <t>Deal Pipeline</t>
        </is>
      </c>
      <c r="B43" s="15" t="inlineStr">
        <is>
          <t>Management</t>
        </is>
      </c>
      <c r="C43" s="16">
        <f>HYPERLINK('Link Config'!$B$2&amp;"plugins/vc/tasks/prepare-deal-flow-agenda.md","Prepare Deal Flow Agenda")</f>
        <v/>
      </c>
      <c r="D43" s="16">
        <f>HYPERLINK('Link Config'!$B$2&amp;"plugins/vc/skills/vc-task-and-next-step-generation/SKILL.md","vc-task-and-next-step-generation")</f>
        <v/>
      </c>
    </row>
    <row r="44" ht="18" customHeight="1" s="12">
      <c r="A44" s="15" t="inlineStr">
        <is>
          <t>Deal Pipeline</t>
        </is>
      </c>
      <c r="B44" s="15" t="inlineStr">
        <is>
          <t>Management</t>
        </is>
      </c>
      <c r="C44" s="16">
        <f>HYPERLINK('Link Config'!$B$2&amp;"plugins/vc/tasks/google-drive-sync-read.md","Preview Google Drive Context")</f>
        <v/>
      </c>
      <c r="D44" s="16">
        <f>HYPERLINK('Link Config'!$B$2&amp;"plugins/vc/skills/vc-google-drive-sync-read/SKILL.md","vc-google-drive-sync-read")</f>
        <v/>
      </c>
    </row>
    <row r="45" ht="18" customHeight="1" s="12">
      <c r="A45" s="15" t="inlineStr">
        <is>
          <t>Deal Pipeline</t>
        </is>
      </c>
      <c r="B45" s="15" t="inlineStr">
        <is>
          <t>Management</t>
        </is>
      </c>
      <c r="C45" s="16">
        <f>HYPERLINK('Link Config'!$B$2&amp;"plugins/vc/tasks/google-drive-sync-read.md","Preview Google Drive Context")</f>
        <v/>
      </c>
      <c r="D45" s="16">
        <f>HYPERLINK('Link Config'!$B$2&amp;"plugins/vc/skills/citation-enforcement/SKILL.md","citation-enforcement")</f>
        <v/>
      </c>
    </row>
    <row r="46" ht="18" customHeight="1" s="12">
      <c r="A46" s="15" t="inlineStr">
        <is>
          <t>Deal Pipeline</t>
        </is>
      </c>
      <c r="B46" s="15" t="inlineStr">
        <is>
          <t>Management</t>
        </is>
      </c>
      <c r="C46" s="16">
        <f>HYPERLINK('Link Config'!$B$2&amp;"plugins/vc/tasks/harmonic-sync-read.md","Preview Harmonic Search Results")</f>
        <v/>
      </c>
      <c r="D46" s="16">
        <f>HYPERLINK('Link Config'!$B$2&amp;"plugins/vc/skills/vc-harmonic-sync-read/SKILL.md","vc-harmonic-sync-read")</f>
        <v/>
      </c>
    </row>
    <row r="47" ht="18" customHeight="1" s="12">
      <c r="A47" s="15" t="inlineStr">
        <is>
          <t>Deal Pipeline</t>
        </is>
      </c>
      <c r="B47" s="15" t="inlineStr">
        <is>
          <t>Management</t>
        </is>
      </c>
      <c r="C47" s="16">
        <f>HYPERLINK('Link Config'!$B$2&amp;"plugins/vc/tasks/harmonic-sync-read.md","Preview Harmonic Search Results")</f>
        <v/>
      </c>
      <c r="D47" s="16">
        <f>HYPERLINK('Link Config'!$B$2&amp;"plugins/vc/skills/citation-enforcement/SKILL.md","citation-enforcement")</f>
        <v/>
      </c>
    </row>
    <row r="48" ht="18" customHeight="1" s="12">
      <c r="A48" s="15" t="inlineStr">
        <is>
          <t>Deal Pipeline</t>
        </is>
      </c>
      <c r="B48" s="15" t="inlineStr">
        <is>
          <t>Management</t>
        </is>
      </c>
      <c r="C48" s="16">
        <f>HYPERLINK('Link Config'!$B$2&amp;"plugins/vc/tasks/notion-sync-read.md","Preview Notion Context")</f>
        <v/>
      </c>
      <c r="D48" s="16">
        <f>HYPERLINK('Link Config'!$B$2&amp;"plugins/vc/skills/vc-notion-sync-read/SKILL.md","vc-notion-sync-read")</f>
        <v/>
      </c>
    </row>
    <row r="49" ht="18" customHeight="1" s="12">
      <c r="A49" s="15" t="inlineStr">
        <is>
          <t>Deal Pipeline</t>
        </is>
      </c>
      <c r="B49" s="15" t="inlineStr">
        <is>
          <t>Management</t>
        </is>
      </c>
      <c r="C49" s="16">
        <f>HYPERLINK('Link Config'!$B$2&amp;"plugins/vc/tasks/notion-sync-read.md","Preview Notion Context")</f>
        <v/>
      </c>
      <c r="D49" s="16">
        <f>HYPERLINK('Link Config'!$B$2&amp;"plugins/vc/skills/citation-enforcement/SKILL.md","citation-enforcement")</f>
        <v/>
      </c>
    </row>
    <row r="50" ht="18" customHeight="1" s="12">
      <c r="A50" s="15" t="inlineStr">
        <is>
          <t>Deal Pipeline</t>
        </is>
      </c>
      <c r="B50" s="15" t="inlineStr">
        <is>
          <t>Management</t>
        </is>
      </c>
      <c r="C50" s="16">
        <f>HYPERLINK('Link Config'!$B$2&amp;"plugins/vc/tasks/slack-sync-read.md","Preview Slack Deal Context")</f>
        <v/>
      </c>
      <c r="D50" s="16">
        <f>HYPERLINK('Link Config'!$B$2&amp;"plugins/vc/skills/vc-slack-sync-read/SKILL.md","vc-slack-sync-read")</f>
        <v/>
      </c>
    </row>
    <row r="51" ht="18" customHeight="1" s="12">
      <c r="A51" s="15" t="inlineStr">
        <is>
          <t>Deal Pipeline</t>
        </is>
      </c>
      <c r="B51" s="15" t="inlineStr">
        <is>
          <t>Management</t>
        </is>
      </c>
      <c r="C51" s="16">
        <f>HYPERLINK('Link Config'!$B$2&amp;"plugins/vc/tasks/slack-sync-read.md","Preview Slack Deal Context")</f>
        <v/>
      </c>
      <c r="D51" s="16">
        <f>HYPERLINK('Link Config'!$B$2&amp;"plugins/vc/skills/citation-enforcement/SKILL.md","citation-enforcement")</f>
        <v/>
      </c>
    </row>
    <row r="52" ht="18" customHeight="1" s="12">
      <c r="A52" s="15" t="inlineStr">
        <is>
          <t>Deal Pipeline</t>
        </is>
      </c>
      <c r="B52" s="15" t="inlineStr">
        <is>
          <t>Management</t>
        </is>
      </c>
      <c r="C52" s="16">
        <f>HYPERLINK('Link Config'!$B$2&amp;"plugins/vc/tasks/google-drive-setup.md","Set Up Google Drive for Deal Pipelines")</f>
        <v/>
      </c>
      <c r="D52" s="16">
        <f>HYPERLINK('Link Config'!$B$2&amp;"plugins/vc/skills/vc-google-drive-discovery/SKILL.md","vc-google-drive-discovery")</f>
        <v/>
      </c>
    </row>
    <row r="53" ht="18" customHeight="1" s="12">
      <c r="A53" s="15" t="inlineStr">
        <is>
          <t>Deal Pipeline</t>
        </is>
      </c>
      <c r="B53" s="15" t="inlineStr">
        <is>
          <t>Management</t>
        </is>
      </c>
      <c r="C53" s="16">
        <f>HYPERLINK('Link Config'!$B$2&amp;"plugins/vc/tasks/google-drive-setup.md","Set Up Google Drive for Deal Pipelines")</f>
        <v/>
      </c>
      <c r="D53" s="16">
        <f>HYPERLINK('Link Config'!$B$2&amp;"plugins/vc/skills/vc-google-drive-sync-read/SKILL.md","vc-google-drive-sync-read")</f>
        <v/>
      </c>
    </row>
    <row r="54" ht="18" customHeight="1" s="12">
      <c r="A54" s="15" t="inlineStr">
        <is>
          <t>Deal Pipeline</t>
        </is>
      </c>
      <c r="B54" s="15" t="inlineStr">
        <is>
          <t>Management</t>
        </is>
      </c>
      <c r="C54" s="16">
        <f>HYPERLINK('Link Config'!$B$2&amp;"plugins/vc/tasks/google-drive-setup.md","Set Up Google Drive for Deal Pipelines")</f>
        <v/>
      </c>
      <c r="D54" s="16">
        <f>HYPERLINK('Link Config'!$B$2&amp;"plugins/vc/skills/vc-google-drive-sync-write/SKILL.md","vc-google-drive-sync-write")</f>
        <v/>
      </c>
    </row>
    <row r="55" ht="18" customHeight="1" s="12">
      <c r="A55" s="15" t="inlineStr">
        <is>
          <t>Deal Pipeline</t>
        </is>
      </c>
      <c r="B55" s="15" t="inlineStr">
        <is>
          <t>Management</t>
        </is>
      </c>
      <c r="C55" s="16">
        <f>HYPERLINK('Link Config'!$B$2&amp;"plugins/vc/tasks/google-drive-setup.md","Set Up Google Drive for Deal Pipelines")</f>
        <v/>
      </c>
      <c r="D55" s="16">
        <f>HYPERLINK('Link Config'!$B$2&amp;"plugins/vc/skills/citation-enforcement/SKILL.md","citation-enforcement")</f>
        <v/>
      </c>
    </row>
    <row r="56" ht="18" customHeight="1" s="12">
      <c r="A56" s="15" t="inlineStr">
        <is>
          <t>Deal Pipeline</t>
        </is>
      </c>
      <c r="B56" s="15" t="inlineStr">
        <is>
          <t>Management</t>
        </is>
      </c>
      <c r="C56" s="16">
        <f>HYPERLINK('Link Config'!$B$2&amp;"plugins/vc/tasks/harmonic-setup.md","Set Up Harmonic for Deal Pipelines")</f>
        <v/>
      </c>
      <c r="D56" s="16">
        <f>HYPERLINK('Link Config'!$B$2&amp;"plugins/vc/skills/vc-harmonic-discovery/SKILL.md","vc-harmonic-discovery")</f>
        <v/>
      </c>
    </row>
    <row r="57" ht="18" customHeight="1" s="12">
      <c r="A57" s="15" t="inlineStr">
        <is>
          <t>Deal Pipeline</t>
        </is>
      </c>
      <c r="B57" s="15" t="inlineStr">
        <is>
          <t>Management</t>
        </is>
      </c>
      <c r="C57" s="16">
        <f>HYPERLINK('Link Config'!$B$2&amp;"plugins/vc/tasks/harmonic-setup.md","Set Up Harmonic for Deal Pipelines")</f>
        <v/>
      </c>
      <c r="D57" s="16">
        <f>HYPERLINK('Link Config'!$B$2&amp;"plugins/vc/skills/vc-harmonic-sync-read/SKILL.md","vc-harmonic-sync-read")</f>
        <v/>
      </c>
    </row>
    <row r="58" ht="18" customHeight="1" s="12">
      <c r="A58" s="15" t="inlineStr">
        <is>
          <t>Deal Pipeline</t>
        </is>
      </c>
      <c r="B58" s="15" t="inlineStr">
        <is>
          <t>Management</t>
        </is>
      </c>
      <c r="C58" s="16">
        <f>HYPERLINK('Link Config'!$B$2&amp;"plugins/vc/tasks/harmonic-setup.md","Set Up Harmonic for Deal Pipelines")</f>
        <v/>
      </c>
      <c r="D58" s="16">
        <f>HYPERLINK('Link Config'!$B$2&amp;"plugins/vc/skills/citation-enforcement/SKILL.md","citation-enforcement")</f>
        <v/>
      </c>
    </row>
    <row r="59" ht="18" customHeight="1" s="12">
      <c r="A59" s="15" t="inlineStr">
        <is>
          <t>Deal Pipeline</t>
        </is>
      </c>
      <c r="B59" s="15" t="inlineStr">
        <is>
          <t>Management</t>
        </is>
      </c>
      <c r="C59" s="16">
        <f>HYPERLINK('Link Config'!$B$2&amp;"plugins/vc/tasks/notion-setup.md","Set Up Notion for Deal Pipelines")</f>
        <v/>
      </c>
      <c r="D59" s="16">
        <f>HYPERLINK('Link Config'!$B$2&amp;"plugins/vc/skills/vc-notion-discovery/SKILL.md","vc-notion-discovery")</f>
        <v/>
      </c>
    </row>
    <row r="60" ht="18" customHeight="1" s="12">
      <c r="A60" s="15" t="inlineStr">
        <is>
          <t>Deal Pipeline</t>
        </is>
      </c>
      <c r="B60" s="15" t="inlineStr">
        <is>
          <t>Management</t>
        </is>
      </c>
      <c r="C60" s="16">
        <f>HYPERLINK('Link Config'!$B$2&amp;"plugins/vc/tasks/notion-setup.md","Set Up Notion for Deal Pipelines")</f>
        <v/>
      </c>
      <c r="D60" s="16">
        <f>HYPERLINK('Link Config'!$B$2&amp;"plugins/vc/skills/vc-notion-sync-read/SKILL.md","vc-notion-sync-read")</f>
        <v/>
      </c>
    </row>
    <row r="61" ht="18" customHeight="1" s="12">
      <c r="A61" s="15" t="inlineStr">
        <is>
          <t>Deal Pipeline</t>
        </is>
      </c>
      <c r="B61" s="15" t="inlineStr">
        <is>
          <t>Management</t>
        </is>
      </c>
      <c r="C61" s="16">
        <f>HYPERLINK('Link Config'!$B$2&amp;"plugins/vc/tasks/notion-setup.md","Set Up Notion for Deal Pipelines")</f>
        <v/>
      </c>
      <c r="D61" s="16">
        <f>HYPERLINK('Link Config'!$B$2&amp;"plugins/vc/skills/vc-notion-sync-write/SKILL.md","vc-notion-sync-write")</f>
        <v/>
      </c>
    </row>
    <row r="62" ht="18" customHeight="1" s="12">
      <c r="A62" s="15" t="inlineStr">
        <is>
          <t>Deal Pipeline</t>
        </is>
      </c>
      <c r="B62" s="15" t="inlineStr">
        <is>
          <t>Management</t>
        </is>
      </c>
      <c r="C62" s="16">
        <f>HYPERLINK('Link Config'!$B$2&amp;"plugins/vc/tasks/notion-setup.md","Set Up Notion for Deal Pipelines")</f>
        <v/>
      </c>
      <c r="D62" s="16">
        <f>HYPERLINK('Link Config'!$B$2&amp;"plugins/vc/skills/citation-enforcement/SKILL.md","citation-enforcement")</f>
        <v/>
      </c>
    </row>
    <row r="63" ht="18" customHeight="1" s="12">
      <c r="A63" s="15" t="inlineStr">
        <is>
          <t>Deal Pipeline</t>
        </is>
      </c>
      <c r="B63" s="15" t="inlineStr">
        <is>
          <t>Management</t>
        </is>
      </c>
      <c r="C63" s="16">
        <f>HYPERLINK('Link Config'!$B$2&amp;"plugins/vc/tasks/slack-setup.md","Set Up Slack for Deal Pipelines")</f>
        <v/>
      </c>
      <c r="D63" s="16">
        <f>HYPERLINK('Link Config'!$B$2&amp;"plugins/vc/skills/vc-slack-discovery/SKILL.md","vc-slack-discovery")</f>
        <v/>
      </c>
    </row>
    <row r="64" ht="18" customHeight="1" s="12">
      <c r="A64" s="15" t="inlineStr">
        <is>
          <t>Deal Pipeline</t>
        </is>
      </c>
      <c r="B64" s="15" t="inlineStr">
        <is>
          <t>Management</t>
        </is>
      </c>
      <c r="C64" s="16">
        <f>HYPERLINK('Link Config'!$B$2&amp;"plugins/vc/tasks/slack-setup.md","Set Up Slack for Deal Pipelines")</f>
        <v/>
      </c>
      <c r="D64" s="16">
        <f>HYPERLINK('Link Config'!$B$2&amp;"plugins/vc/skills/vc-slack-sync-read/SKILL.md","vc-slack-sync-read")</f>
        <v/>
      </c>
    </row>
    <row r="65" ht="18" customHeight="1" s="12">
      <c r="A65" s="15" t="inlineStr">
        <is>
          <t>Deal Pipeline</t>
        </is>
      </c>
      <c r="B65" s="15" t="inlineStr">
        <is>
          <t>Management</t>
        </is>
      </c>
      <c r="C65" s="16">
        <f>HYPERLINK('Link Config'!$B$2&amp;"plugins/vc/tasks/slack-setup.md","Set Up Slack for Deal Pipelines")</f>
        <v/>
      </c>
      <c r="D65" s="16">
        <f>HYPERLINK('Link Config'!$B$2&amp;"plugins/vc/skills/vc-slack-sync-write/SKILL.md","vc-slack-sync-write")</f>
        <v/>
      </c>
    </row>
    <row r="66" ht="18" customHeight="1" s="12">
      <c r="A66" s="15" t="inlineStr">
        <is>
          <t>Deal Pipeline</t>
        </is>
      </c>
      <c r="B66" s="15" t="inlineStr">
        <is>
          <t>Management</t>
        </is>
      </c>
      <c r="C66" s="16">
        <f>HYPERLINK('Link Config'!$B$2&amp;"plugins/vc/tasks/slack-setup.md","Set Up Slack for Deal Pipelines")</f>
        <v/>
      </c>
      <c r="D66" s="16">
        <f>HYPERLINK('Link Config'!$B$2&amp;"plugins/vc/skills/citation-enforcement/SKILL.md","citation-enforcement")</f>
        <v/>
      </c>
    </row>
    <row r="67" ht="18" customHeight="1" s="12">
      <c r="A67" s="15" t="inlineStr">
        <is>
          <t>Deal Pipeline</t>
        </is>
      </c>
      <c r="B67" s="15" t="inlineStr">
        <is>
          <t>Intake</t>
        </is>
      </c>
      <c r="C67" s="16">
        <f>HYPERLINK('Link Config'!$B$2&amp;"plugins/vc/tasks/screen-inbound-opportunity.md","Capture Opportunity Intake")</f>
        <v/>
      </c>
      <c r="D67" s="16">
        <f>HYPERLINK('Link Config'!$B$2&amp;"plugins/vc/skills/deal-room-setup-and-source-ingestion/SKILL.md","deal-room-setup-and-source-ingestion")</f>
        <v/>
      </c>
    </row>
    <row r="68" ht="18" customHeight="1" s="12">
      <c r="A68" s="15" t="inlineStr">
        <is>
          <t>Deal Pipeline</t>
        </is>
      </c>
      <c r="B68" s="15" t="inlineStr">
        <is>
          <t>Intake</t>
        </is>
      </c>
      <c r="C68" s="16">
        <f>HYPERLINK('Link Config'!$B$2&amp;"plugins/vc/tasks/screen-inbound-opportunity.md","Capture Opportunity Intake")</f>
        <v/>
      </c>
      <c r="D68" s="16">
        <f>HYPERLINK('Link Config'!$B$2&amp;"plugins/vc/skills/company-research-and-enrichment/SKILL.md","company-research-and-enrichment")</f>
        <v/>
      </c>
    </row>
    <row r="69" ht="18" customHeight="1" s="12">
      <c r="A69" s="15" t="inlineStr">
        <is>
          <t>Deal Pipeline</t>
        </is>
      </c>
      <c r="B69" s="15" t="inlineStr">
        <is>
          <t>Intake</t>
        </is>
      </c>
      <c r="C69" s="16">
        <f>HYPERLINK('Link Config'!$B$2&amp;"plugins/vc/tasks/screen-inbound-opportunity.md","Capture Opportunity Intake")</f>
        <v/>
      </c>
      <c r="D69" s="16">
        <f>HYPERLINK('Link Config'!$B$2&amp;"plugins/vc/skills/citation-enforcement/SKILL.md","citation-enforcement")</f>
        <v/>
      </c>
    </row>
    <row r="70" ht="18" customHeight="1" s="12">
      <c r="A70" s="15" t="inlineStr">
        <is>
          <t>Deal Pipeline</t>
        </is>
      </c>
      <c r="B70" s="15" t="inlineStr">
        <is>
          <t>Intake</t>
        </is>
      </c>
      <c r="C70" s="16">
        <f>HYPERLINK('Link Config'!$B$2&amp;"plugins/vc/tasks/screen-inbound-opportunity.md","Capture Opportunity Intake")</f>
        <v/>
      </c>
      <c r="D70" s="16">
        <f>HYPERLINK('Link Config'!$B$2&amp;"plugins/vc/skills/pitch-deck-explainer/SKILL.md","pitch-deck-explainer")</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Config'!$B$2&amp;"plugins/vc/skills/investment-screening-framework/SKILL.md","investment-screening-framework")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Config'!$B$2&amp;"plugins/vc/skills/red-flags-scanner/SKILL.md","red-flags-scanner")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Config'!$B$2&amp;"plugins/vc/skills/investment-diligence-question-framework/SKILL.md","investment-diligence-question-framework")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Config'!$B$2&amp;"plugins/vc/skills/red-flags-scanner/SKILL.md","red-flags-scanner")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Config'!$B$2&amp;"plugins/vc/skills/commercial-evaluation-and-market-risk/SKILL.md","commercial-evaluation-and-market-risk")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Config'!$B$2&amp;"plugins/vc/skills/technical-evaluation-and-product-risk/SKILL.md","technical-evaluation-and-product-risk")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Config'!$B$2&amp;"plugins/vc/skills/red-flags-scanner/SKILL.md","red-flags-scanner")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Config'!$B$2&amp;"plugins/vc/skills/financial-evaluation-and-financing-risk/SKILL.md","financial-evaluation-and-financing-risk")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Config'!$B$2&amp;"plugins/vc/skills/team-evaluation-and-founder-risk/SKILL.md","team-evaluation-and-founder-risk")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Config'!$B$2&amp;"plugins/vc/skills/red-flags-scanner/SKILL.md","red-flags-scanner")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Config'!$B$2&amp;"plugins/vc/skills/investment-diligence-question-framework/SKILL.md","investment-diligence-question-framework")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Config'!$B$2&amp;"plugins/vc/skills/ic-memo-assembly/SKILL.md","ic-memo-assembly")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Config'!$B$2&amp;"plugins/vc/skills/ic-memo-assembly/SKILL.md","ic-memo-assembly")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Config'!$B$2&amp;"plugins/vc/skills/ic-memo-assembly/SKILL.md","ic-memo-assembly")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Config'!$B$2&amp;"plugins/vc/skills/ic-risk-checklist-and-decision-log/SKILL.md","ic-risk-checklist-and-decision-log")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Config'!$B$2&amp;"plugins/vc/skills/meeting-prep-and-summary/SKILL.md","meeting-prep-and-summary")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Config'!$B$2&amp;"plugins/vc/skills/ic-risk-checklist-and-decision-log/SKILL.md","ic-risk-checklist-and-decision-log")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Config'!$B$2&amp;"plugins/vc/skills/ic-memo-assembly/SKILL.md","ic-memo-assembly")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Config'!$B$2&amp;"plugins/vc/skills/ic-risk-checklist-and-decision-log/SKILL.md","ic-risk-checklist-and-decision-log")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Config'!$B$2&amp;"plugins/vc/skills/ic-risk-checklist-and-decision-log/SKILL.md","ic-risk-checklist-and-decision-log")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Config'!$B$2&amp;"plugins/vc/skills/vc-task-and-next-step-generation/SKILL.md","vc-task-and-next-step-generation")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Config'!$B$2&amp;"plugins/vc/skills/deal-terms-analysis/SKILL.md","deal-terms-analysis")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Config'!$B$2&amp;"plugins/vc/skills/term-sheet-negotiation-brief/SKILL.md","term-sheet-negotiation-brief")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Config'!$B$2&amp;"plugins/vc/skills/deal-terms-analysis/SKILL.md","deal-terms-analysis")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Config'!$B$2&amp;"plugins/vc/skills/red-flags-scanner/SKILL.md","red-flags-scanner")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Config'!$B$2&amp;"plugins/vc/skills/closing-coordination-and-cp-tracking/SKILL.md","closing-coordination-and-cp-tracking")</f>
        <v/>
      </c>
    </row>
    <row r="113" ht="18" customHeight="1" s="12">
      <c r="A113" s="15" t="inlineStr">
        <is>
          <t>Origination Pipeline</t>
        </is>
      </c>
      <c r="B113" s="15" t="inlineStr">
        <is>
          <t>Setup</t>
        </is>
      </c>
      <c r="C113" s="16">
        <f>HYPERLINK('Link Config'!$B$2&amp;"plugins/vc/tasks/apify-setup.md","Set Up Apify for Origination")</f>
        <v/>
      </c>
      <c r="D113" s="16">
        <f>HYPERLINK('Link Config'!$B$2&amp;"plugins/vc/skills/vc-apify-discovery/SKILL.md","vc-apify-discovery")</f>
        <v/>
      </c>
    </row>
    <row r="114" ht="18" customHeight="1" s="12">
      <c r="A114" s="15" t="inlineStr">
        <is>
          <t>Origination Pipeline</t>
        </is>
      </c>
      <c r="B114" s="15" t="inlineStr">
        <is>
          <t>Setup</t>
        </is>
      </c>
      <c r="C114" s="16">
        <f>HYPERLINK('Link Config'!$B$2&amp;"plugins/vc/tasks/apify-setup.md","Set Up Apify for Origination")</f>
        <v/>
      </c>
      <c r="D114" s="16">
        <f>HYPERLINK('Link Config'!$B$2&amp;"plugins/vc/skills/vc-apify-sync-read/SKILL.md","vc-apify-sync-read")</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Config'!$B$2&amp;"plugins/vc/skills/citation-enforcement/SKILL.md","citation-enforcement")</f>
        <v/>
      </c>
    </row>
    <row r="116" ht="18" customHeight="1" s="12">
      <c r="A116" s="15" t="inlineStr">
        <is>
          <t>Origination Pipeline</t>
        </is>
      </c>
      <c r="B116" s="15" t="inlineStr">
        <is>
          <t>Setup</t>
        </is>
      </c>
      <c r="C116" s="16">
        <f>HYPERLINK('Link Config'!$B$2&amp;"plugins/vc/tasks/companies-house-setup.md","Configure Companies House Public Register Preview")</f>
        <v/>
      </c>
      <c r="D116" s="16">
        <f>HYPERLINK('Link Config'!$B$2&amp;"plugins/vc/skills/vc-companies-house-sourcing/SKILL.md","vc-companies-house-sourcing")</f>
        <v/>
      </c>
    </row>
    <row r="117" ht="18" customHeight="1" s="12">
      <c r="A117" s="15" t="inlineStr">
        <is>
          <t>Origination Pipeline</t>
        </is>
      </c>
      <c r="B117" s="15" t="inlineStr">
        <is>
          <t>Setup</t>
        </is>
      </c>
      <c r="C117" s="16">
        <f>HYPERLINK('Link Config'!$B$2&amp;"plugins/vc/tasks/companies-house-setup.md","Configure Companies House Public Register Preview")</f>
        <v/>
      </c>
      <c r="D117" s="16">
        <f>HYPERLINK('Link Config'!$B$2&amp;"plugins/vc/skills/vc-companies-house-sync-read/SKILL.md","vc-companies-house-sync-read")</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Config'!$B$2&amp;"plugins/vc/skills/citation-enforcement/SKILL.md","citation-enforcement")</f>
        <v/>
      </c>
    </row>
    <row r="119" ht="18" customHeight="1" s="12">
      <c r="A119" s="15" t="inlineStr">
        <is>
          <t>Origination Pipeline</t>
        </is>
      </c>
      <c r="B119" s="15" t="inlineStr">
        <is>
          <t>Management</t>
        </is>
      </c>
      <c r="C119" s="16">
        <f>HYPERLINK('Link Config'!$B$2&amp;"plugins/vc/tasks/run-sourcing-pipeline.md","Run VC Sourcing Pipeline")</f>
        <v/>
      </c>
      <c r="D119" s="16">
        <f>HYPERLINK('Link Config'!$B$2&amp;"plugins/vc/skills/vc-origination-pipeline-orchestration/SKILL.md","vc-origination-pipeline-orchestration")</f>
        <v/>
      </c>
    </row>
    <row r="120" ht="18" customHeight="1" s="12">
      <c r="A120" s="15" t="inlineStr">
        <is>
          <t>Origination Pipeline</t>
        </is>
      </c>
      <c r="B120" s="15" t="inlineStr">
        <is>
          <t>Management</t>
        </is>
      </c>
      <c r="C120" s="16">
        <f>HYPERLINK('Link Config'!$B$2&amp;"plugins/vc/tasks/run-sourcing-pipeline.md","Run VC Sourcing Pipeline")</f>
        <v/>
      </c>
      <c r="D120" s="16">
        <f>HYPERLINK('Link Config'!$B$2&amp;"plugins/vc/skills/vc-source-registry-and-state-management/SKILL.md","vc-source-registry-and-state-management")</f>
        <v/>
      </c>
    </row>
    <row r="121" ht="18" customHeight="1" s="12">
      <c r="A121" s="15" t="inlineStr">
        <is>
          <t>Origination Pipeline</t>
        </is>
      </c>
      <c r="B121" s="15" t="inlineStr">
        <is>
          <t>Management</t>
        </is>
      </c>
      <c r="C121" s="16">
        <f>HYPERLINK('Link Config'!$B$2&amp;"plugins/vc/tasks/run-sourcing-pipeline.md","Run VC Sourcing Pipeline")</f>
        <v/>
      </c>
      <c r="D121" s="16">
        <f>HYPERLINK('Link Config'!$B$2&amp;"plugins/vc/skills/citation-enforcement/SKILL.md","citation-enforcement")</f>
        <v/>
      </c>
    </row>
    <row r="122" ht="18" customHeight="1" s="12">
      <c r="A122" s="15" t="inlineStr">
        <is>
          <t>Origination Pipeline</t>
        </is>
      </c>
      <c r="B122" s="15" t="inlineStr">
        <is>
          <t>Management</t>
        </is>
      </c>
      <c r="C122" s="16">
        <f>HYPERLINK('Link Config'!$B$2&amp;"plugins/vc/tasks/generate-sourcing-digest.md","Generate Sourcing Digest")</f>
        <v/>
      </c>
      <c r="D122" s="16">
        <f>HYPERLINK('Link Config'!$B$2&amp;"plugins/vc/skills/vc-sourcing-digest-generation/SKILL.md","vc-sourcing-digest-generation")</f>
        <v/>
      </c>
    </row>
    <row r="123" ht="18" customHeight="1" s="12">
      <c r="A123" s="15" t="inlineStr">
        <is>
          <t>Origination Pipeline</t>
        </is>
      </c>
      <c r="B123" s="15" t="inlineStr">
        <is>
          <t>Management</t>
        </is>
      </c>
      <c r="C123" s="16">
        <f>HYPERLINK('Link Config'!$B$2&amp;"plugins/vc/tasks/generate-sourcing-digest.md","Generate Sourcing Digest")</f>
        <v/>
      </c>
      <c r="D123" s="16">
        <f>HYPERLINK('Link Config'!$B$2&amp;"plugins/vc/skills/citation-enforcement/SKILL.md","citation-enforcement")</f>
        <v/>
      </c>
    </row>
    <row r="124" ht="18" customHeight="1" s="12">
      <c r="A124" s="15" t="inlineStr">
        <is>
          <t>Origination Pipeline</t>
        </is>
      </c>
      <c r="B124" s="15" t="inlineStr">
        <is>
          <t>Management</t>
        </is>
      </c>
      <c r="C124" s="16">
        <f>HYPERLINK('Link Config'!$B$2&amp;"plugins/vc/tasks/review-source-errors-and-spend.md","Review Source Errors and Spend")</f>
        <v/>
      </c>
      <c r="D124" s="16">
        <f>HYPERLINK('Link Config'!$B$2&amp;"plugins/vc/skills/vc-source-error-and-spend-audit/SKILL.md","vc-source-error-and-spend-audit")</f>
        <v/>
      </c>
    </row>
    <row r="125" ht="18" customHeight="1" s="12">
      <c r="A125" s="15" t="inlineStr">
        <is>
          <t>Origination Pipeline</t>
        </is>
      </c>
      <c r="B125" s="15" t="inlineStr">
        <is>
          <t>Management</t>
        </is>
      </c>
      <c r="C125" s="16">
        <f>HYPERLINK('Link Config'!$B$2&amp;"plugins/vc/tasks/review-source-errors-and-spend.md","Review Source Errors and Spend")</f>
        <v/>
      </c>
      <c r="D125" s="16">
        <f>HYPERLINK('Link Config'!$B$2&amp;"plugins/vc/skills/vc-source-registry-and-state-management/SKILL.md","vc-source-registry-and-state-management")</f>
        <v/>
      </c>
    </row>
    <row r="126" ht="18" customHeight="1" s="12">
      <c r="A126" s="15" t="inlineStr">
        <is>
          <t>Origination Pipeline</t>
        </is>
      </c>
      <c r="B126" s="15" t="inlineStr">
        <is>
          <t>Management</t>
        </is>
      </c>
      <c r="C126" s="16">
        <f>HYPERLINK('Link Config'!$B$2&amp;"plugins/vc/tasks/review-source-errors-and-spend.md","Review Source Errors and Spend")</f>
        <v/>
      </c>
      <c r="D126" s="16">
        <f>HYPERLINK('Link Config'!$B$2&amp;"plugins/vc/skills/citation-enforcement/SKILL.md","citation-enforcement")</f>
        <v/>
      </c>
    </row>
    <row r="127" ht="18" customHeight="1" s="12">
      <c r="A127" s="15" t="inlineStr">
        <is>
          <t>Origination Pipeline</t>
        </is>
      </c>
      <c r="B127" s="15" t="inlineStr">
        <is>
          <t>Management</t>
        </is>
      </c>
      <c r="C127" s="16">
        <f>HYPERLINK('Link Config'!$B$2&amp;"plugins/vc/tasks/discover-companies-house-candidates.md","Discover Companies House Candidates")</f>
        <v/>
      </c>
      <c r="D127" s="16">
        <f>HYPERLINK('Link Config'!$B$2&amp;"plugins/vc/skills/vc-companies-house-sourcing/SKILL.md","vc-companies-house-sourcing")</f>
        <v/>
      </c>
    </row>
    <row r="128" ht="18" customHeight="1" s="12">
      <c r="A128" s="15" t="inlineStr">
        <is>
          <t>Origination Pipeline</t>
        </is>
      </c>
      <c r="B128" s="15" t="inlineStr">
        <is>
          <t>Management</t>
        </is>
      </c>
      <c r="C128" s="16">
        <f>HYPERLINK('Link Config'!$B$2&amp;"plugins/vc/tasks/discover-companies-house-candidates.md","Discover Companies House Candidates")</f>
        <v/>
      </c>
      <c r="D128" s="16">
        <f>HYPERLINK('Link Config'!$B$2&amp;"plugins/vc/skills/vc-source-registry-and-state-management/SKILL.md","vc-source-registry-and-state-management")</f>
        <v/>
      </c>
    </row>
    <row r="129" ht="18" customHeight="1" s="12">
      <c r="A129" s="15" t="inlineStr">
        <is>
          <t>Origination Pipeline</t>
        </is>
      </c>
      <c r="B129" s="15" t="inlineStr">
        <is>
          <t>Management</t>
        </is>
      </c>
      <c r="C129" s="16">
        <f>HYPERLINK('Link Config'!$B$2&amp;"plugins/vc/tasks/discover-companies-house-candidates.md","Discover Companies House Candidates")</f>
        <v/>
      </c>
      <c r="D129" s="16">
        <f>HYPERLINK('Link Config'!$B$2&amp;"plugins/vc/skills/citation-enforcement/SKILL.md","citation-enforcement")</f>
        <v/>
      </c>
    </row>
    <row r="130" ht="18" customHeight="1" s="12">
      <c r="A130" s="15" t="inlineStr">
        <is>
          <t>Origination Pipeline</t>
        </is>
      </c>
      <c r="B130" s="15" t="inlineStr">
        <is>
          <t>Management</t>
        </is>
      </c>
      <c r="C130" s="16">
        <f>HYPERLINK('Link Config'!$B$2&amp;"plugins/vc/tasks/discover-x-founder-signals.md","Discover X Founder Signals")</f>
        <v/>
      </c>
      <c r="D130" s="16">
        <f>HYPERLINK('Link Config'!$B$2&amp;"plugins/vc/skills/vc-apify-x-founder-discovery/SKILL.md","vc-apify-x-founder-discovery")</f>
        <v/>
      </c>
    </row>
    <row r="131" ht="18" customHeight="1" s="12">
      <c r="A131" s="15" t="inlineStr">
        <is>
          <t>Origination Pipeline</t>
        </is>
      </c>
      <c r="B131" s="15" t="inlineStr">
        <is>
          <t>Management</t>
        </is>
      </c>
      <c r="C131" s="16">
        <f>HYPERLINK('Link Config'!$B$2&amp;"plugins/vc/tasks/discover-x-founder-signals.md","Discover X Founder Signals")</f>
        <v/>
      </c>
      <c r="D131" s="16">
        <f>HYPERLINK('Link Config'!$B$2&amp;"plugins/vc/skills/vc-source-registry-and-state-management/SKILL.md","vc-source-registry-and-state-management")</f>
        <v/>
      </c>
    </row>
    <row r="132" ht="18" customHeight="1" s="12">
      <c r="A132" s="15" t="inlineStr">
        <is>
          <t>Origination Pipeline</t>
        </is>
      </c>
      <c r="B132" s="15" t="inlineStr">
        <is>
          <t>Management</t>
        </is>
      </c>
      <c r="C132" s="16">
        <f>HYPERLINK('Link Config'!$B$2&amp;"plugins/vc/tasks/discover-x-founder-signals.md","Discover X Founder Signals")</f>
        <v/>
      </c>
      <c r="D132" s="16">
        <f>HYPERLINK('Link Config'!$B$2&amp;"plugins/vc/skills/citation-enforcement/SKILL.md","citation-enforcement")</f>
        <v/>
      </c>
    </row>
    <row r="133" ht="18" customHeight="1" s="12">
      <c r="A133" s="15" t="inlineStr">
        <is>
          <t>Origination Pipeline</t>
        </is>
      </c>
      <c r="B133" s="15" t="inlineStr">
        <is>
          <t>Management</t>
        </is>
      </c>
      <c r="C133" s="16">
        <f>HYPERLINK('Link Config'!$B$2&amp;"plugins/vc/tasks/discover-github-builder-signals.md","Discover GitHub Builder Signals")</f>
        <v/>
      </c>
      <c r="D133" s="16">
        <f>HYPERLINK('Link Config'!$B$2&amp;"plugins/vc/skills/vc-github-builder-signal-discovery/SKILL.md","vc-github-builder-signal-discovery")</f>
        <v/>
      </c>
    </row>
    <row r="134" ht="18" customHeight="1" s="12">
      <c r="A134" s="15" t="inlineStr">
        <is>
          <t>Origination Pipeline</t>
        </is>
      </c>
      <c r="B134" s="15" t="inlineStr">
        <is>
          <t>Management</t>
        </is>
      </c>
      <c r="C134" s="16">
        <f>HYPERLINK('Link Config'!$B$2&amp;"plugins/vc/tasks/discover-github-builder-signals.md","Discover GitHub Builder Signals")</f>
        <v/>
      </c>
      <c r="D134" s="16">
        <f>HYPERLINK('Link Config'!$B$2&amp;"plugins/vc/skills/vc-source-registry-and-state-management/SKILL.md","vc-source-registry-and-state-management")</f>
        <v/>
      </c>
    </row>
    <row r="135" ht="18" customHeight="1" s="12">
      <c r="A135" s="15" t="inlineStr">
        <is>
          <t>Origination Pipeline</t>
        </is>
      </c>
      <c r="B135" s="15" t="inlineStr">
        <is>
          <t>Management</t>
        </is>
      </c>
      <c r="C135" s="16">
        <f>HYPERLINK('Link Config'!$B$2&amp;"plugins/vc/tasks/discover-github-builder-signals.md","Discover GitHub Builder Signals")</f>
        <v/>
      </c>
      <c r="D135" s="16">
        <f>HYPERLINK('Link Config'!$B$2&amp;"plugins/vc/skills/citation-enforcement/SKILL.md","citation-enforcement")</f>
        <v/>
      </c>
    </row>
    <row r="136" ht="18" customHeight="1" s="12">
      <c r="A136" s="15" t="inlineStr">
        <is>
          <t>Origination Pipeline</t>
        </is>
      </c>
      <c r="B136" s="15" t="inlineStr">
        <is>
          <t>Management</t>
        </is>
      </c>
      <c r="C136" s="16">
        <f>HYPERLINK('Link Config'!$B$2&amp;"plugins/vc/tasks/discover-linkedin-founders.md","Discover LinkedIn Founder Candidates")</f>
        <v/>
      </c>
      <c r="D136" s="16">
        <f>HYPERLINK('Link Config'!$B$2&amp;"plugins/vc/skills/vc-apify-linkedin-founder-discovery/SKILL.md","vc-apify-linkedin-founder-discovery")</f>
        <v/>
      </c>
    </row>
    <row r="137" ht="18" customHeight="1" s="12">
      <c r="A137" s="15" t="inlineStr">
        <is>
          <t>Origination Pipeline</t>
        </is>
      </c>
      <c r="B137" s="15" t="inlineStr">
        <is>
          <t>Management</t>
        </is>
      </c>
      <c r="C137" s="16">
        <f>HYPERLINK('Link Config'!$B$2&amp;"plugins/vc/tasks/discover-linkedin-founders.md","Discover LinkedIn Founder Candidates")</f>
        <v/>
      </c>
      <c r="D137" s="16">
        <f>HYPERLINK('Link Config'!$B$2&amp;"plugins/vc/skills/vc-source-registry-and-state-management/SKILL.md","vc-source-registry-and-state-management")</f>
        <v/>
      </c>
    </row>
    <row r="138" ht="18" customHeight="1" s="12">
      <c r="A138" s="15" t="inlineStr">
        <is>
          <t>Origination Pipeline</t>
        </is>
      </c>
      <c r="B138" s="15" t="inlineStr">
        <is>
          <t>Management</t>
        </is>
      </c>
      <c r="C138" s="16">
        <f>HYPERLINK('Link Config'!$B$2&amp;"plugins/vc/tasks/discover-linkedin-founders.md","Discover LinkedIn Founder Candidates")</f>
        <v/>
      </c>
      <c r="D138" s="16">
        <f>HYPERLINK('Link Config'!$B$2&amp;"plugins/vc/skills/citation-enforcement/SKILL.md","citation-enforcement")</f>
        <v/>
      </c>
    </row>
    <row r="139" ht="18" customHeight="1" s="12">
      <c r="A139" s="15" t="inlineStr">
        <is>
          <t>Origination Pipeline</t>
        </is>
      </c>
      <c r="B139" s="15" t="inlineStr">
        <is>
          <t>Management</t>
        </is>
      </c>
      <c r="C139" s="16">
        <f>HYPERLINK('Link Config'!$B$2&amp;"plugins/vc/tasks/discover-reddit-builder-signals.md","Discover Reddit Builder Signals")</f>
        <v/>
      </c>
      <c r="D139" s="16">
        <f>HYPERLINK('Link Config'!$B$2&amp;"plugins/vc/skills/vc-reddit-builder-signal-discovery/SKILL.md","vc-reddit-builder-signal-discovery")</f>
        <v/>
      </c>
    </row>
    <row r="140" ht="18" customHeight="1" s="12">
      <c r="A140" s="15" t="inlineStr">
        <is>
          <t>Origination Pipeline</t>
        </is>
      </c>
      <c r="B140" s="15" t="inlineStr">
        <is>
          <t>Management</t>
        </is>
      </c>
      <c r="C140" s="16">
        <f>HYPERLINK('Link Config'!$B$2&amp;"plugins/vc/tasks/discover-reddit-builder-signals.md","Discover Reddit Builder Signals")</f>
        <v/>
      </c>
      <c r="D140" s="16">
        <f>HYPERLINK('Link Config'!$B$2&amp;"plugins/vc/skills/vc-source-registry-and-state-management/SKILL.md","vc-source-registry-and-state-management")</f>
        <v/>
      </c>
    </row>
    <row r="141" ht="18" customHeight="1" s="12">
      <c r="A141" s="15" t="inlineStr">
        <is>
          <t>Origination Pipeline</t>
        </is>
      </c>
      <c r="B141" s="15" t="inlineStr">
        <is>
          <t>Management</t>
        </is>
      </c>
      <c r="C141" s="16">
        <f>HYPERLINK('Link Config'!$B$2&amp;"plugins/vc/tasks/discover-reddit-builder-signals.md","Discover Reddit Builder Signals")</f>
        <v/>
      </c>
      <c r="D141" s="16">
        <f>HYPERLINK('Link Config'!$B$2&amp;"plugins/vc/skills/citation-enforcement/SKILL.md","citation-enforcement")</f>
        <v/>
      </c>
    </row>
    <row r="142" ht="18" customHeight="1" s="12">
      <c r="A142" s="15" t="inlineStr">
        <is>
          <t>Origination Pipeline</t>
        </is>
      </c>
      <c r="B142" s="15" t="inlineStr">
        <is>
          <t>Management</t>
        </is>
      </c>
      <c r="C142" s="16">
        <f>HYPERLINK('Link Config'!$B$2&amp;"plugins/vc/tasks/review-portfolio-overlap.md","Review Portfolio Overlap")</f>
        <v/>
      </c>
      <c r="D142" s="16">
        <f>HYPERLINK('Link Config'!$B$2&amp;"plugins/vc/skills/vc-portfolio-overlap-review/SKILL.md","vc-portfolio-overlap-review")</f>
        <v/>
      </c>
    </row>
    <row r="143" ht="18" customHeight="1" s="12">
      <c r="A143" s="15" t="inlineStr">
        <is>
          <t>Origination Pipeline</t>
        </is>
      </c>
      <c r="B143" s="15" t="inlineStr">
        <is>
          <t>Management</t>
        </is>
      </c>
      <c r="C143" s="16">
        <f>HYPERLINK('Link Config'!$B$2&amp;"plugins/vc/tasks/review-portfolio-overlap.md","Review Portfolio Overlap")</f>
        <v/>
      </c>
      <c r="D143" s="16">
        <f>HYPERLINK('Link Config'!$B$2&amp;"plugins/vc/skills/citation-enforcement/SKILL.md","citation-enforcement")</f>
        <v/>
      </c>
    </row>
    <row r="144" ht="18" customHeight="1" s="12">
      <c r="A144" s="15" t="inlineStr">
        <is>
          <t>Origination Pipeline</t>
        </is>
      </c>
      <c r="B144" s="15" t="inlineStr">
        <is>
          <t>Management</t>
        </is>
      </c>
      <c r="C144" s="16">
        <f>HYPERLINK('Link Config'!$B$2&amp;"plugins/vc/tasks/review-portfolio-overlap.md","Review Portfolio Overlap")</f>
        <v/>
      </c>
      <c r="D144" s="16">
        <f>HYPERLINK('Link Config'!$B$2&amp;"plugins/vc/skills/vc-relationship-context-check/SKILL.md","vc-relationship-context-check")</f>
        <v/>
      </c>
    </row>
    <row r="145" ht="18" customHeight="1" s="12">
      <c r="A145" s="15" t="inlineStr">
        <is>
          <t>Origination Pipeline</t>
        </is>
      </c>
      <c r="B145" s="15" t="inlineStr">
        <is>
          <t>Management</t>
        </is>
      </c>
      <c r="C145" s="16">
        <f>HYPERLINK('Link Config'!$B$2&amp;"plugins/vc/tasks/screen-active-sourcing-candidates.md","Screen Active Sourcing Candidates")</f>
        <v/>
      </c>
      <c r="D145" s="16">
        <f>HYPERLINK('Link Config'!$B$2&amp;"plugins/vc/skills/vc-sourcing-verdict-and-screening/SKILL.md","vc-sourcing-verdict-and-screening")</f>
        <v/>
      </c>
    </row>
    <row r="146" ht="18" customHeight="1" s="12">
      <c r="A146" s="15" t="inlineStr">
        <is>
          <t>Origination Pipeline</t>
        </is>
      </c>
      <c r="B146" s="15" t="inlineStr">
        <is>
          <t>Management</t>
        </is>
      </c>
      <c r="C146" s="16">
        <f>HYPERLINK('Link Config'!$B$2&amp;"plugins/vc/tasks/screen-active-sourcing-candidates.md","Screen Active Sourcing Candidates")</f>
        <v/>
      </c>
      <c r="D146" s="16">
        <f>HYPERLINK('Link Config'!$B$2&amp;"plugins/vc/skills/citation-enforcement/SKILL.md","citation-enforcement")</f>
        <v/>
      </c>
    </row>
    <row r="147" ht="18" customHeight="1" s="12">
      <c r="A147" s="15" t="inlineStr">
        <is>
          <t>Origination Pipeline</t>
        </is>
      </c>
      <c r="B147" s="15" t="inlineStr">
        <is>
          <t>Management</t>
        </is>
      </c>
      <c r="C147" s="16">
        <f>HYPERLINK('Link Config'!$B$2&amp;"plugins/vc/tasks/screen-active-sourcing-candidates.md","Screen Active Sourcing Candidates")</f>
        <v/>
      </c>
      <c r="D147" s="16">
        <f>HYPERLINK('Link Config'!$B$2&amp;"plugins/vc/skills/investment-screening-framework/SKILL.md","investment-screening-framework")</f>
        <v/>
      </c>
    </row>
    <row r="148" ht="18" customHeight="1" s="12">
      <c r="A148" s="15" t="inlineStr">
        <is>
          <t>Origination Pipeline</t>
        </is>
      </c>
      <c r="B148" s="15" t="inlineStr">
        <is>
          <t>Management</t>
        </is>
      </c>
      <c r="C148" s="16">
        <f>HYPERLINK('Link Config'!$B$2&amp;"plugins/vc/tasks/prepare-outreach-draft-queue.md","Prepare Outreach Draft Queue")</f>
        <v/>
      </c>
      <c r="D148" s="16">
        <f>HYPERLINK('Link Config'!$B$2&amp;"plugins/vc/skills/vc-outreach-draft-queue/SKILL.md","vc-outreach-draft-queue")</f>
        <v/>
      </c>
    </row>
    <row r="149" ht="18" customHeight="1" s="12">
      <c r="A149" s="15" t="inlineStr">
        <is>
          <t>Origination Pipeline</t>
        </is>
      </c>
      <c r="B149" s="15" t="inlineStr">
        <is>
          <t>Management</t>
        </is>
      </c>
      <c r="C149" s="16">
        <f>HYPERLINK('Link Config'!$B$2&amp;"plugins/vc/tasks/prepare-outreach-draft-queue.md","Prepare Outreach Draft Queue")</f>
        <v/>
      </c>
      <c r="D149" s="16">
        <f>HYPERLINK('Link Config'!$B$2&amp;"plugins/vc/skills/citation-enforcement/SKILL.md","citation-enforcement")</f>
        <v/>
      </c>
    </row>
    <row r="150" ht="18" customHeight="1" s="12">
      <c r="A150" s="15" t="inlineStr">
        <is>
          <t>Origination Pipeline</t>
        </is>
      </c>
      <c r="B150" s="15" t="inlineStr">
        <is>
          <t>Management</t>
        </is>
      </c>
      <c r="C150" s="16">
        <f>HYPERLINK('Link Config'!$B$2&amp;"plugins/vc/tasks/prepare-outreach-draft-queue.md","Prepare Outreach Draft Queue")</f>
        <v/>
      </c>
      <c r="D150" s="16">
        <f>HYPERLINK('Link Config'!$B$2&amp;"plugins/vc/skills/founder-outreach-and-intro-paths/SKILL.md","founder-outreach-and-intro-paths")</f>
        <v/>
      </c>
    </row>
    <row r="151" ht="18" customHeight="1" s="12">
      <c r="A151" s="15" t="inlineStr">
        <is>
          <t>Origination Pipeline</t>
        </is>
      </c>
      <c r="B151" s="15" t="inlineStr">
        <is>
          <t>Management</t>
        </is>
      </c>
      <c r="C151" s="16">
        <f>HYPERLINK('Link Config'!$B$2&amp;"plugins/vc/tasks/audit-linkedin-query-spend.md","Audit LinkedIn Query Spend")</f>
        <v/>
      </c>
      <c r="D151" s="16">
        <f>HYPERLINK('Link Config'!$B$2&amp;"plugins/vc/skills/vc-linkedin-query-spend-audit/SKILL.md","vc-linkedin-query-spend-audit")</f>
        <v/>
      </c>
    </row>
    <row r="152" ht="18" customHeight="1" s="12">
      <c r="A152" s="15" t="inlineStr">
        <is>
          <t>Origination Pipeline</t>
        </is>
      </c>
      <c r="B152" s="15" t="inlineStr">
        <is>
          <t>Management</t>
        </is>
      </c>
      <c r="C152" s="16">
        <f>HYPERLINK('Link Config'!$B$2&amp;"plugins/vc/tasks/audit-linkedin-query-spend.md","Audit LinkedIn Query Spend")</f>
        <v/>
      </c>
      <c r="D152" s="16">
        <f>HYPERLINK('Link Config'!$B$2&amp;"plugins/vc/skills/vc-source-registry-and-state-management/SKILL.md","vc-source-registry-and-state-management")</f>
        <v/>
      </c>
    </row>
    <row r="153" ht="18" customHeight="1" s="12">
      <c r="A153" s="15" t="inlineStr">
        <is>
          <t>Origination Pipeline</t>
        </is>
      </c>
      <c r="B153" s="15" t="inlineStr">
        <is>
          <t>Management</t>
        </is>
      </c>
      <c r="C153" s="16">
        <f>HYPERLINK('Link Config'!$B$2&amp;"plugins/vc/tasks/audit-linkedin-query-spend.md","Audit LinkedIn Query Spend")</f>
        <v/>
      </c>
      <c r="D153" s="16">
        <f>HYPERLINK('Link Config'!$B$2&amp;"plugins/vc/skills/citation-enforcement/SKILL.md","citation-enforcement")</f>
        <v/>
      </c>
    </row>
    <row r="154" ht="18" customHeight="1" s="12">
      <c r="A154" s="15" t="inlineStr">
        <is>
          <t>Origination Pipeline</t>
        </is>
      </c>
      <c r="B154" s="15" t="inlineStr">
        <is>
          <t>Management</t>
        </is>
      </c>
      <c r="C154" s="16">
        <f>HYPERLINK('Link Config'!$B$2&amp;"plugins/vc/tasks/apify-discovery.md","Explore Apify Origination Sources")</f>
        <v/>
      </c>
      <c r="D154" s="16">
        <f>HYPERLINK('Link Config'!$B$2&amp;"plugins/vc/skills/vc-apify-discovery/SKILL.md","vc-apify-discovery")</f>
        <v/>
      </c>
    </row>
    <row r="155" ht="18" customHeight="1" s="12">
      <c r="A155" s="15" t="inlineStr">
        <is>
          <t>Origination Pipeline</t>
        </is>
      </c>
      <c r="B155" s="15" t="inlineStr">
        <is>
          <t>Management</t>
        </is>
      </c>
      <c r="C155" s="16">
        <f>HYPERLINK('Link Config'!$B$2&amp;"plugins/vc/tasks/apify-discovery.md","Explore Apify Origination Sources")</f>
        <v/>
      </c>
      <c r="D155" s="16">
        <f>HYPERLINK('Link Config'!$B$2&amp;"plugins/vc/skills/citation-enforcement/SKILL.md","citation-enforcement")</f>
        <v/>
      </c>
    </row>
    <row r="156" ht="18" customHeight="1" s="12">
      <c r="A156" s="15" t="inlineStr">
        <is>
          <t>Origination Pipeline</t>
        </is>
      </c>
      <c r="B156" s="15" t="inlineStr">
        <is>
          <t>Management</t>
        </is>
      </c>
      <c r="C156" s="16">
        <f>HYPERLINK('Link Config'!$B$2&amp;"plugins/vc/tasks/companies-house-discovery.md","Explore Companies House Public Register Scope")</f>
        <v/>
      </c>
      <c r="D156" s="16">
        <f>HYPERLINK('Link Config'!$B$2&amp;"plugins/vc/skills/vc-companies-house-sourcing/SKILL.md","vc-companies-house-sourcing")</f>
        <v/>
      </c>
    </row>
    <row r="157" ht="18" customHeight="1" s="12">
      <c r="A157" s="15" t="inlineStr">
        <is>
          <t>Origination Pipeline</t>
        </is>
      </c>
      <c r="B157" s="15" t="inlineStr">
        <is>
          <t>Management</t>
        </is>
      </c>
      <c r="C157" s="16">
        <f>HYPERLINK('Link Config'!$B$2&amp;"plugins/vc/tasks/companies-house-discovery.md","Explore Companies House Public Register Scope")</f>
        <v/>
      </c>
      <c r="D157" s="16">
        <f>HYPERLINK('Link Config'!$B$2&amp;"plugins/vc/skills/citation-enforcement/SKILL.md","citation-enforcement")</f>
        <v/>
      </c>
    </row>
    <row r="158" ht="18" customHeight="1" s="12">
      <c r="A158" s="15" t="inlineStr">
        <is>
          <t>Origination Pipeline</t>
        </is>
      </c>
      <c r="B158" s="15" t="inlineStr">
        <is>
          <t>Management</t>
        </is>
      </c>
      <c r="C158" s="16">
        <f>HYPERLINK('Link Config'!$B$2&amp;"plugins/vc/tasks/prepare-lead-gen-packet.md","Prepare Lead Gen Packet")</f>
        <v/>
      </c>
      <c r="D158" s="16">
        <f>HYPERLINK('Link Config'!$B$2&amp;"plugins/vc/skills/company-research-and-enrichment/SKILL.md","company-research-and-enrichment")</f>
        <v/>
      </c>
    </row>
    <row r="159" ht="18" customHeight="1" s="12">
      <c r="A159" s="15" t="inlineStr">
        <is>
          <t>Origination Pipeline</t>
        </is>
      </c>
      <c r="B159" s="15" t="inlineStr">
        <is>
          <t>Management</t>
        </is>
      </c>
      <c r="C159" s="16">
        <f>HYPERLINK('Link Config'!$B$2&amp;"plugins/vc/tasks/prepare-lead-gen-packet.md","Prepare Lead Gen Packet")</f>
        <v/>
      </c>
      <c r="D159" s="16">
        <f>HYPERLINK('Link Config'!$B$2&amp;"plugins/vc/skills/citation-enforcement/SKILL.md","citation-enforcement")</f>
        <v/>
      </c>
    </row>
    <row r="160" ht="18" customHeight="1" s="12">
      <c r="A160" s="15" t="inlineStr">
        <is>
          <t>Origination Pipeline</t>
        </is>
      </c>
      <c r="B160" s="15" t="inlineStr">
        <is>
          <t>Management</t>
        </is>
      </c>
      <c r="C160" s="16">
        <f>HYPERLINK('Link Config'!$B$2&amp;"plugins/vc/tasks/apify-sync-read.md","Preview Apify Origination Results")</f>
        <v/>
      </c>
      <c r="D160" s="16">
        <f>HYPERLINK('Link Config'!$B$2&amp;"plugins/vc/skills/vc-apify-sync-read/SKILL.md","vc-apify-sync-read")</f>
        <v/>
      </c>
    </row>
    <row r="161" ht="18" customHeight="1" s="12">
      <c r="A161" s="15" t="inlineStr">
        <is>
          <t>Origination Pipeline</t>
        </is>
      </c>
      <c r="B161" s="15" t="inlineStr">
        <is>
          <t>Management</t>
        </is>
      </c>
      <c r="C161" s="16">
        <f>HYPERLINK('Link Config'!$B$2&amp;"plugins/vc/tasks/apify-sync-read.md","Preview Apify Origination Results")</f>
        <v/>
      </c>
      <c r="D161" s="16">
        <f>HYPERLINK('Link Config'!$B$2&amp;"plugins/vc/skills/citation-enforcement/SKILL.md","citation-enforcement")</f>
        <v/>
      </c>
    </row>
    <row r="162" ht="18" customHeight="1" s="12">
      <c r="A162" s="15" t="inlineStr">
        <is>
          <t>Origination Pipeline</t>
        </is>
      </c>
      <c r="B162" s="15" t="inlineStr">
        <is>
          <t>Management</t>
        </is>
      </c>
      <c r="C162" s="16">
        <f>HYPERLINK('Link Config'!$B$2&amp;"plugins/vc/tasks/companies-house-sync-read.md","Preview Companies House Public Register Results")</f>
        <v/>
      </c>
      <c r="D162" s="16">
        <f>HYPERLINK('Link Config'!$B$2&amp;"plugins/vc/skills/vc-companies-house-sync-read/SKILL.md","vc-companies-house-sync-read")</f>
        <v/>
      </c>
    </row>
    <row r="163" ht="18" customHeight="1" s="12">
      <c r="A163" s="15" t="inlineStr">
        <is>
          <t>Origination Pipeline</t>
        </is>
      </c>
      <c r="B163" s="15" t="inlineStr">
        <is>
          <t>Management</t>
        </is>
      </c>
      <c r="C163" s="16">
        <f>HYPERLINK('Link Config'!$B$2&amp;"plugins/vc/tasks/companies-house-sync-read.md","Preview Companies House Public Register Results")</f>
        <v/>
      </c>
      <c r="D163" s="16">
        <f>HYPERLINK('Link Config'!$B$2&amp;"plugins/vc/skills/citation-enforcement/SKILL.md","citation-enforcement")</f>
        <v/>
      </c>
    </row>
    <row r="164" ht="18" customHeight="1" s="12">
      <c r="A164" s="15" t="inlineStr">
        <is>
          <t>Origination Pipeline</t>
        </is>
      </c>
      <c r="B164" s="15" t="inlineStr">
        <is>
          <t>Draft</t>
        </is>
      </c>
      <c r="C164" s="16">
        <f>HYPERLINK('Link Config'!$B$2&amp;"plugins/vc/tasks/configure-origination-pipeline.md","Configure Origination Pipeline")</f>
        <v/>
      </c>
      <c r="D164" s="16">
        <f>HYPERLINK('Link Config'!$B$2&amp;"plugins/vc/skills/vc-origination-pipeline-orchestration/SKILL.md","vc-origination-pipeline-orchestration")</f>
        <v/>
      </c>
    </row>
    <row r="165" ht="18" customHeight="1" s="12">
      <c r="A165" s="15" t="inlineStr">
        <is>
          <t>Origination Pipeline</t>
        </is>
      </c>
      <c r="B165" s="15" t="inlineStr">
        <is>
          <t>Draft</t>
        </is>
      </c>
      <c r="C165" s="16">
        <f>HYPERLINK('Link Config'!$B$2&amp;"plugins/vc/tasks/configure-origination-pipeline.md","Configure Origination Pipeline")</f>
        <v/>
      </c>
      <c r="D165" s="16">
        <f>HYPERLINK('Link Config'!$B$2&amp;"plugins/vc/skills/citation-enforcement/SKILL.md","citation-enforcement")</f>
        <v/>
      </c>
    </row>
    <row r="166" ht="18" customHeight="1" s="12">
      <c r="A166" s="15" t="inlineStr">
        <is>
          <t>Origination Pipeline</t>
        </is>
      </c>
      <c r="B166" s="15" t="inlineStr">
        <is>
          <t>Active</t>
        </is>
      </c>
      <c r="C166" s="16">
        <f>HYPERLINK('Link Config'!$B$2&amp;"plugins/vc/tasks/ingest-manual-sourcing-tip.md","Ingest Manual Sourcing Tip")</f>
        <v/>
      </c>
      <c r="D166" s="16">
        <f>HYPERLINK('Link Config'!$B$2&amp;"plugins/vc/skills/vc-manual-tip-ingestion/SKILL.md","vc-manual-tip-ingestion")</f>
        <v/>
      </c>
    </row>
    <row r="167" ht="18" customHeight="1" s="12">
      <c r="A167" s="15" t="inlineStr">
        <is>
          <t>Origination Pipeline</t>
        </is>
      </c>
      <c r="B167" s="15" t="inlineStr">
        <is>
          <t>Active</t>
        </is>
      </c>
      <c r="C167" s="16">
        <f>HYPERLINK('Link Config'!$B$2&amp;"plugins/vc/tasks/ingest-manual-sourcing-tip.md","Ingest Manual Sourcing Tip")</f>
        <v/>
      </c>
      <c r="D167" s="16">
        <f>HYPERLINK('Link Config'!$B$2&amp;"plugins/vc/skills/vc-sourcing-dedupe-and-novelty-check/SKILL.md","vc-sourcing-dedupe-and-novelty-check")</f>
        <v/>
      </c>
    </row>
    <row r="168" ht="18" customHeight="1" s="12">
      <c r="A168" s="15" t="inlineStr">
        <is>
          <t>Origination Pipeline</t>
        </is>
      </c>
      <c r="B168" s="15" t="inlineStr">
        <is>
          <t>Active</t>
        </is>
      </c>
      <c r="C168" s="16">
        <f>HYPERLINK('Link Config'!$B$2&amp;"plugins/vc/tasks/ingest-manual-sourcing-tip.md","Ingest Manual Sourcing Tip")</f>
        <v/>
      </c>
      <c r="D168" s="16">
        <f>HYPERLINK('Link Config'!$B$2&amp;"plugins/vc/skills/citation-enforcement/SKILL.md","citation-enforcement")</f>
        <v/>
      </c>
    </row>
    <row r="169" ht="18" customHeight="1" s="12">
      <c r="A169" s="15" t="inlineStr">
        <is>
          <t>Origination Pipeline</t>
        </is>
      </c>
      <c r="B169" s="15" t="inlineStr">
        <is>
          <t>Active</t>
        </is>
      </c>
      <c r="C169" s="16">
        <f>HYPERLINK('Link Config'!$B$2&amp;"plugins/vc/tasks/source-thesis-targets.md","Source Thesis Targets")</f>
        <v/>
      </c>
      <c r="D169" s="16">
        <f>HYPERLINK('Link Config'!$B$2&amp;"plugins/vc/skills/company-research-and-enrichment/SKILL.md","company-research-and-enrichment")</f>
        <v/>
      </c>
    </row>
    <row r="170" ht="18" customHeight="1" s="12">
      <c r="A170" s="15" t="inlineStr">
        <is>
          <t>Origination Pipeline</t>
        </is>
      </c>
      <c r="B170" s="15" t="inlineStr">
        <is>
          <t>Active</t>
        </is>
      </c>
      <c r="C170" s="16">
        <f>HYPERLINK('Link Config'!$B$2&amp;"plugins/vc/tasks/source-thesis-targets.md","Source Thesis Targets")</f>
        <v/>
      </c>
      <c r="D170" s="16">
        <f>HYPERLINK('Link Config'!$B$2&amp;"plugins/vc/skills/founder-outreach-and-intro-paths/SKILL.md","founder-outreach-and-intro-paths")</f>
        <v/>
      </c>
    </row>
    <row r="171" ht="18" customHeight="1" s="12">
      <c r="A171" s="15" t="inlineStr">
        <is>
          <t>Origination Pipeline</t>
        </is>
      </c>
      <c r="B171" s="15" t="inlineStr">
        <is>
          <t>Active</t>
        </is>
      </c>
      <c r="C171" s="16">
        <f>HYPERLINK('Link Config'!$B$2&amp;"plugins/vc/tasks/source-thesis-targets.md","Source Thesis Targets")</f>
        <v/>
      </c>
      <c r="D171" s="16">
        <f>HYPERLINK('Link Config'!$B$2&amp;"plugins/vc/skills/citation-enforcement/SKILL.md","citation-enforcement")</f>
        <v/>
      </c>
    </row>
    <row r="172" ht="18" customHeight="1" s="12">
      <c r="A172" s="15" t="inlineStr">
        <is>
          <t>Origination Pipeline</t>
        </is>
      </c>
      <c r="B172" s="15" t="inlineStr">
        <is>
          <t>Review Backlog</t>
        </is>
      </c>
      <c r="C172" s="16">
        <f>HYPERLINK('Link Config'!$B$2&amp;"plugins/vc/tasks/review-reddit-candidate-inbox.md","Review Reddit Candidate Inbox")</f>
        <v/>
      </c>
      <c r="D172" s="16">
        <f>HYPERLINK('Link Config'!$B$2&amp;"plugins/vc/skills/vc-reddit-inbox-approval/SKILL.md","vc-reddit-inbox-approval")</f>
        <v/>
      </c>
    </row>
    <row r="173" ht="18" customHeight="1" s="12">
      <c r="A173" s="15" t="inlineStr">
        <is>
          <t>Origination Pipeline</t>
        </is>
      </c>
      <c r="B173" s="15" t="inlineStr">
        <is>
          <t>Review Backlog</t>
        </is>
      </c>
      <c r="C173" s="16">
        <f>HYPERLINK('Link Config'!$B$2&amp;"plugins/vc/tasks/review-reddit-candidate-inbox.md","Review Reddit Candidate Inbox")</f>
        <v/>
      </c>
      <c r="D173" s="16">
        <f>HYPERLINK('Link Config'!$B$2&amp;"plugins/vc/skills/vc-sourcing-dedupe-and-novelty-check/SKILL.md","vc-sourcing-dedupe-and-novelty-check")</f>
        <v/>
      </c>
    </row>
    <row r="174" ht="18" customHeight="1" s="12">
      <c r="A174" s="15" t="inlineStr">
        <is>
          <t>Origination Pipeline</t>
        </is>
      </c>
      <c r="B174" s="15" t="inlineStr">
        <is>
          <t>Review Backlog</t>
        </is>
      </c>
      <c r="C174" s="16">
        <f>HYPERLINK('Link Config'!$B$2&amp;"plugins/vc/tasks/review-reddit-candidate-inbox.md","Review Reddit Candidate Inbox")</f>
        <v/>
      </c>
      <c r="D174" s="16">
        <f>HYPERLINK('Link Config'!$B$2&amp;"plugins/vc/skills/citation-enforcement/SKILL.md","citation-enforcement")</f>
        <v/>
      </c>
    </row>
    <row r="175" ht="18" customHeight="1" s="12">
      <c r="A175" s="15" t="inlineStr">
        <is>
          <t>Origination Pipeline</t>
        </is>
      </c>
      <c r="B175" s="15" t="inlineStr">
        <is>
          <t>Review Backlog</t>
        </is>
      </c>
      <c r="C175" s="16">
        <f>HYPERLINK('Link Config'!$B$2&amp;"plugins/vc/tasks/enrich-sourcing-candidates.md","Enrich Sourcing Candidates")</f>
        <v/>
      </c>
      <c r="D175" s="16">
        <f>HYPERLINK('Link Config'!$B$2&amp;"plugins/vc/skills/vc-sourcing-candidate-enrichment/SKILL.md","vc-sourcing-candidate-enrichment")</f>
        <v/>
      </c>
    </row>
    <row r="176" ht="18" customHeight="1" s="12">
      <c r="A176" s="15" t="inlineStr">
        <is>
          <t>Origination Pipeline</t>
        </is>
      </c>
      <c r="B176" s="15" t="inlineStr">
        <is>
          <t>Review Backlog</t>
        </is>
      </c>
      <c r="C176" s="16">
        <f>HYPERLINK('Link Config'!$B$2&amp;"plugins/vc/tasks/enrich-sourcing-candidates.md","Enrich Sourcing Candidates")</f>
        <v/>
      </c>
      <c r="D176" s="16">
        <f>HYPERLINK('Link Config'!$B$2&amp;"plugins/vc/skills/vc-sourcing-dedupe-and-novelty-check/SKILL.md","vc-sourcing-dedupe-and-novelty-check")</f>
        <v/>
      </c>
    </row>
    <row r="177" ht="18" customHeight="1" s="12">
      <c r="A177" s="15" t="inlineStr">
        <is>
          <t>Origination Pipeline</t>
        </is>
      </c>
      <c r="B177" s="15" t="inlineStr">
        <is>
          <t>Review Backlog</t>
        </is>
      </c>
      <c r="C177" s="16">
        <f>HYPERLINK('Link Config'!$B$2&amp;"plugins/vc/tasks/enrich-sourcing-candidates.md","Enrich Sourcing Candidates")</f>
        <v/>
      </c>
      <c r="D177" s="16">
        <f>HYPERLINK('Link Config'!$B$2&amp;"plugins/vc/skills/citation-enforcement/SKILL.md","citation-enforcement")</f>
        <v/>
      </c>
    </row>
    <row r="178" ht="18" customHeight="1" s="12">
      <c r="A178" s="15" t="inlineStr">
        <is>
          <t>Origination Pipeline</t>
        </is>
      </c>
      <c r="B178" s="15" t="inlineStr">
        <is>
          <t>Review Backlog</t>
        </is>
      </c>
      <c r="C178" s="16">
        <f>HYPERLINK('Link Config'!$B$2&amp;"plugins/vc/tasks/check-affinity-relationships.md","Check Affinity Relationship Context")</f>
        <v/>
      </c>
      <c r="D178" s="16">
        <f>HYPERLINK('Link Config'!$B$2&amp;"plugins/vc/skills/vc-relationship-context-check/SKILL.md","vc-relationship-context-check")</f>
        <v/>
      </c>
    </row>
    <row r="179" ht="18" customHeight="1" s="12">
      <c r="A179" s="15" t="inlineStr">
        <is>
          <t>Origination Pipeline</t>
        </is>
      </c>
      <c r="B179" s="15" t="inlineStr">
        <is>
          <t>Review Backlog</t>
        </is>
      </c>
      <c r="C179" s="16">
        <f>HYPERLINK('Link Config'!$B$2&amp;"plugins/vc/tasks/check-affinity-relationships.md","Check Affinity Relationship Context")</f>
        <v/>
      </c>
      <c r="D179" s="16">
        <f>HYPERLINK('Link Config'!$B$2&amp;"plugins/vc/skills/citation-enforcement/SKILL.md","citation-enforcement")</f>
        <v/>
      </c>
    </row>
    <row r="180" ht="18" customHeight="1" s="12">
      <c r="A180" s="15" t="inlineStr">
        <is>
          <t>Origination Pipeline</t>
        </is>
      </c>
      <c r="B180" s="15" t="inlineStr">
        <is>
          <t>Review Backlog</t>
        </is>
      </c>
      <c r="C180" s="16">
        <f>HYPERLINK('Link Config'!$B$2&amp;"plugins/vc/tasks/score-sourcing-candidates.md","Score Sourcing Candidates")</f>
        <v/>
      </c>
      <c r="D180" s="16">
        <f>HYPERLINK('Link Config'!$B$2&amp;"plugins/vc/skills/vc-sourcing-verdict-and-screening/SKILL.md","vc-sourcing-verdict-and-screening")</f>
        <v/>
      </c>
    </row>
    <row r="181" ht="18" customHeight="1" s="12">
      <c r="A181" s="15" t="inlineStr">
        <is>
          <t>Origination Pipeline</t>
        </is>
      </c>
      <c r="B181" s="15" t="inlineStr">
        <is>
          <t>Review Backlog</t>
        </is>
      </c>
      <c r="C181" s="16">
        <f>HYPERLINK('Link Config'!$B$2&amp;"plugins/vc/tasks/score-sourcing-candidates.md","Score Sourcing Candidates")</f>
        <v/>
      </c>
      <c r="D181" s="16">
        <f>HYPERLINK('Link Config'!$B$2&amp;"plugins/vc/skills/vc-sourcing-dedupe-and-novelty-check/SKILL.md","vc-sourcing-dedupe-and-novelty-check")</f>
        <v/>
      </c>
    </row>
    <row r="182" ht="18" customHeight="1" s="12">
      <c r="A182" s="15" t="inlineStr">
        <is>
          <t>Origination Pipeline</t>
        </is>
      </c>
      <c r="B182" s="15" t="inlineStr">
        <is>
          <t>Review Backlog</t>
        </is>
      </c>
      <c r="C182" s="16">
        <f>HYPERLINK('Link Config'!$B$2&amp;"plugins/vc/tasks/score-sourcing-candidates.md","Score Sourcing Candidates")</f>
        <v/>
      </c>
      <c r="D182" s="16">
        <f>HYPERLINK('Link Config'!$B$2&amp;"plugins/vc/skills/citation-enforcement/SKILL.md","citation-enforcement")</f>
        <v/>
      </c>
    </row>
    <row r="183" ht="18" customHeight="1" s="12">
      <c r="A183" s="15" t="inlineStr">
        <is>
          <t>Origination Pipeline</t>
        </is>
      </c>
      <c r="B183" s="15" t="inlineStr">
        <is>
          <t>Review Backlog</t>
        </is>
      </c>
      <c r="C183" s="16">
        <f>HYPERLINK('Link Config'!$B$2&amp;"plugins/vc/tasks/sync-sourcing-candidates.md","Sync Sourcing Candidates")</f>
        <v/>
      </c>
      <c r="D183" s="16">
        <f>HYPERLINK('Link Config'!$B$2&amp;"plugins/vc/skills/vc-source-registry-and-state-management/SKILL.md","vc-source-registry-and-state-management")</f>
        <v/>
      </c>
    </row>
    <row r="184" ht="18" customHeight="1" s="12">
      <c r="A184" s="15" t="inlineStr">
        <is>
          <t>Origination Pipeline</t>
        </is>
      </c>
      <c r="B184" s="15" t="inlineStr">
        <is>
          <t>Review Backlog</t>
        </is>
      </c>
      <c r="C184" s="16">
        <f>HYPERLINK('Link Config'!$B$2&amp;"plugins/vc/tasks/sync-sourcing-candidates.md","Sync Sourcing Candidates")</f>
        <v/>
      </c>
      <c r="D184" s="16">
        <f>HYPERLINK('Link Config'!$B$2&amp;"plugins/vc/skills/vc-sourcing-dedupe-and-novelty-check/SKILL.md","vc-sourcing-dedupe-and-novelty-check")</f>
        <v/>
      </c>
    </row>
    <row r="185" ht="18" customHeight="1" s="12">
      <c r="A185" s="15" t="inlineStr">
        <is>
          <t>Origination Pipeline</t>
        </is>
      </c>
      <c r="B185" s="15" t="inlineStr">
        <is>
          <t>Review Backlog</t>
        </is>
      </c>
      <c r="C185" s="16">
        <f>HYPERLINK('Link Config'!$B$2&amp;"plugins/vc/tasks/sync-sourcing-candidates.md","Sync Sourcing Candidates")</f>
        <v/>
      </c>
      <c r="D185" s="16">
        <f>HYPERLINK('Link Config'!$B$2&amp;"plugins/vc/skills/citation-enforcement/SKILL.md","citation-enforcement")</f>
        <v/>
      </c>
    </row>
    <row r="186" ht="18" customHeight="1" s="12">
      <c r="A186" s="15" t="inlineStr">
        <is>
          <t>Origination Pipeline</t>
        </is>
      </c>
      <c r="B186" s="15" t="inlineStr">
        <is>
          <t>Review Backlog</t>
        </is>
      </c>
      <c r="C186" s="16">
        <f>HYPERLINK('Link Config'!$B$2&amp;"plugins/vc/tasks/sync-sourcing-candidates.md","Sync Sourcing Candidates")</f>
        <v/>
      </c>
      <c r="D186" s="16">
        <f>HYPERLINK('Link Config'!$B$2&amp;"plugins/vc/skills/vc-notion-sync-write/SKILL.md","vc-notion-sync-write")</f>
        <v/>
      </c>
    </row>
    <row r="187" ht="18" customHeight="1" s="12">
      <c r="A187" s="15" t="inlineStr">
        <is>
          <t>Origination Pipeline</t>
        </is>
      </c>
      <c r="B187" s="15" t="inlineStr">
        <is>
          <t>Review Backlog</t>
        </is>
      </c>
      <c r="C187" s="16">
        <f>HYPERLINK('Link Config'!$B$2&amp;"plugins/vc/tasks/prepare-sourcing-ic-summary.md","Prepare Sourcing IC Summary")</f>
        <v/>
      </c>
      <c r="D187" s="16">
        <f>HYPERLINK('Link Config'!$B$2&amp;"plugins/vc/skills/vc-origination-ic-summary-preparation/SKILL.md","vc-origination-ic-summary-preparation")</f>
        <v/>
      </c>
    </row>
    <row r="188" ht="18" customHeight="1" s="12">
      <c r="A188" s="15" t="inlineStr">
        <is>
          <t>Origination Pipeline</t>
        </is>
      </c>
      <c r="B188" s="15" t="inlineStr">
        <is>
          <t>Review Backlog</t>
        </is>
      </c>
      <c r="C188" s="16">
        <f>HYPERLINK('Link Config'!$B$2&amp;"plugins/vc/tasks/prepare-sourcing-ic-summary.md","Prepare Sourcing IC Summary")</f>
        <v/>
      </c>
      <c r="D188" s="16">
        <f>HYPERLINK('Link Config'!$B$2&amp;"plugins/vc/skills/citation-enforcement/SKILL.md","citation-enforcement")</f>
        <v/>
      </c>
    </row>
    <row r="189" ht="18" customHeight="1" s="12">
      <c r="A189" s="15" t="inlineStr">
        <is>
          <t>Origination Pipeline</t>
        </is>
      </c>
      <c r="B189" s="15" t="inlineStr">
        <is>
          <t>Review Backlog</t>
        </is>
      </c>
      <c r="C189" s="16">
        <f>HYPERLINK('Link Config'!$B$2&amp;"plugins/vc/tasks/promote-candidate-to-deal-room.md","Promote Candidate to Deal Pipeline")</f>
        <v/>
      </c>
      <c r="D189" s="16">
        <f>HYPERLINK('Link Config'!$B$2&amp;"plugins/vc/skills/vc-origination-deal-room-promotion/SKILL.md","vc-origination-deal-room-promotion")</f>
        <v/>
      </c>
    </row>
    <row r="190" ht="18" customHeight="1" s="12">
      <c r="A190" s="15" t="inlineStr">
        <is>
          <t>Origination Pipeline</t>
        </is>
      </c>
      <c r="B190" s="15" t="inlineStr">
        <is>
          <t>Review Backlog</t>
        </is>
      </c>
      <c r="C190" s="16">
        <f>HYPERLINK('Link Config'!$B$2&amp;"plugins/vc/tasks/promote-candidate-to-deal-room.md","Promote Candidate to Deal Pipeline")</f>
        <v/>
      </c>
      <c r="D190" s="16">
        <f>HYPERLINK('Link Config'!$B$2&amp;"plugins/vc/skills/citation-enforcement/SKILL.md","citation-enforcement")</f>
        <v/>
      </c>
    </row>
    <row r="191" ht="18" customHeight="1" s="12">
      <c r="A191" s="15" t="inlineStr">
        <is>
          <t>Origination Pipeline</t>
        </is>
      </c>
      <c r="B191" s="15" t="inlineStr">
        <is>
          <t>Review Backlog</t>
        </is>
      </c>
      <c r="C191" s="16">
        <f>HYPERLINK('Link Config'!$B$2&amp;"plugins/vc/tasks/promote-candidate-to-deal-room.md","Promote Candidate to Deal Pipeline")</f>
        <v/>
      </c>
      <c r="D191" s="16">
        <f>HYPERLINK('Link Config'!$B$2&amp;"plugins/vc/skills/deal-room-setup-and-source-ingestion/SKILL.md","deal-room-setup-and-source-ingestion")</f>
        <v/>
      </c>
    </row>
    <row r="192" ht="18" customHeight="1" s="12">
      <c r="A192" s="15" t="inlineStr">
        <is>
          <t>Investment Management</t>
        </is>
      </c>
      <c r="B192" s="15" t="inlineStr">
        <is>
          <t>Formal Diligence</t>
        </is>
      </c>
      <c r="C192" s="16">
        <f>HYPERLINK('Link Config'!$B$2&amp;"plugins/vc/tasks/run-commercial-dd.md","Run Commercial DD")</f>
        <v/>
      </c>
      <c r="D192" s="16">
        <f>HYPERLINK('Link Config'!$B$2&amp;"plugins/vc/skills/citation-enforcement/SKILL.md","citation-enforcement")</f>
        <v/>
      </c>
    </row>
    <row r="193" ht="18" customHeight="1" s="12">
      <c r="A193" s="15" t="inlineStr">
        <is>
          <t>Investment Management</t>
        </is>
      </c>
      <c r="B193" s="15" t="inlineStr">
        <is>
          <t>Formal Diligence</t>
        </is>
      </c>
      <c r="C193" s="16">
        <f>HYPERLINK('Link Config'!$B$2&amp;"plugins/vc/tasks/run-commercial-dd.md","Run Commercial DD")</f>
        <v/>
      </c>
      <c r="D193" s="16">
        <f>HYPERLINK('Link Config'!$B$2&amp;"plugins/vc/skills/commercial-diligence-workstream/SKILL.md","commercial-diligence-workstream")</f>
        <v/>
      </c>
    </row>
    <row r="194" ht="18" customHeight="1" s="12">
      <c r="A194" s="15" t="inlineStr">
        <is>
          <t>Investment Management</t>
        </is>
      </c>
      <c r="B194" s="15" t="inlineStr">
        <is>
          <t>Formal Diligence</t>
        </is>
      </c>
      <c r="C194" s="16">
        <f>HYPERLINK('Link Config'!$B$2&amp;"plugins/vc/tasks/run-financial-dd.md","Run Financial DD")</f>
        <v/>
      </c>
      <c r="D194" s="16">
        <f>HYPERLINK('Link Config'!$B$2&amp;"plugins/vc/skills/citation-enforcement/SKILL.md","citation-enforcement")</f>
        <v/>
      </c>
    </row>
    <row r="195" ht="18" customHeight="1" s="12">
      <c r="A195" s="15" t="inlineStr">
        <is>
          <t>Investment Management</t>
        </is>
      </c>
      <c r="B195" s="15" t="inlineStr">
        <is>
          <t>Formal Diligence</t>
        </is>
      </c>
      <c r="C195" s="16">
        <f>HYPERLINK('Link Config'!$B$2&amp;"plugins/vc/tasks/run-financial-dd.md","Run Financial DD")</f>
        <v/>
      </c>
      <c r="D195" s="16">
        <f>HYPERLINK('Link Config'!$B$2&amp;"plugins/vc/skills/financial-diligence-workstream/SKILL.md","financial-diligence-workstream")</f>
        <v/>
      </c>
    </row>
    <row r="196" ht="18" customHeight="1" s="12">
      <c r="A196" s="15" t="inlineStr">
        <is>
          <t>Investment Management</t>
        </is>
      </c>
      <c r="B196" s="15" t="inlineStr">
        <is>
          <t>Formal Diligence</t>
        </is>
      </c>
      <c r="C196" s="16">
        <f>HYPERLINK('Link Config'!$B$2&amp;"plugins/vc/tasks/run-founder-evaluation.md","Run Founder Evaluation")</f>
        <v/>
      </c>
      <c r="D196" s="16">
        <f>HYPERLINK('Link Config'!$B$2&amp;"plugins/vc/skills/team-and-hiring-assessment/SKILL.md","team-and-hiring-assessment")</f>
        <v/>
      </c>
    </row>
    <row r="197" ht="18" customHeight="1" s="12">
      <c r="A197" s="15" t="inlineStr">
        <is>
          <t>Investment Management</t>
        </is>
      </c>
      <c r="B197" s="15" t="inlineStr">
        <is>
          <t>Formal Diligence</t>
        </is>
      </c>
      <c r="C197" s="16">
        <f>HYPERLINK('Link Config'!$B$2&amp;"plugins/vc/tasks/run-founder-evaluation.md","Run Founder Evaluation")</f>
        <v/>
      </c>
      <c r="D197" s="16">
        <f>HYPERLINK('Link Config'!$B$2&amp;"plugins/vc/skills/red-flags-scanner/SKILL.md","red-flags-scanner")</f>
        <v/>
      </c>
    </row>
    <row r="198" ht="18" customHeight="1" s="12">
      <c r="A198" s="15" t="inlineStr">
        <is>
          <t>Investment Management</t>
        </is>
      </c>
      <c r="B198" s="15" t="inlineStr">
        <is>
          <t>Formal Diligence</t>
        </is>
      </c>
      <c r="C198" s="16">
        <f>HYPERLINK('Link Config'!$B$2&amp;"plugins/vc/tasks/run-founder-evaluation.md","Run Founder Evaluation")</f>
        <v/>
      </c>
      <c r="D198" s="16">
        <f>HYPERLINK('Link Config'!$B$2&amp;"plugins/vc/skills/citation-enforcement/SKILL.md","citation-enforcement")</f>
        <v/>
      </c>
    </row>
    <row r="199" ht="18" customHeight="1" s="12">
      <c r="A199" s="15" t="inlineStr">
        <is>
          <t>Investment Management</t>
        </is>
      </c>
      <c r="B199" s="15" t="inlineStr">
        <is>
          <t>Formal Diligence</t>
        </is>
      </c>
      <c r="C199" s="16">
        <f>HYPERLINK('Link Config'!$B$2&amp;"plugins/vc/tasks/run-founder-evaluation.md","Run Founder Evaluation")</f>
        <v/>
      </c>
      <c r="D199" s="16">
        <f>HYPERLINK('Link Config'!$B$2&amp;"plugins/vc/skills/founder-evaluation-and-reference-checking/SKILL.md","founder-evaluation-and-reference-checking")</f>
        <v/>
      </c>
    </row>
    <row r="200" ht="18" customHeight="1" s="12">
      <c r="A200" s="15" t="inlineStr">
        <is>
          <t>Investment Management</t>
        </is>
      </c>
      <c r="B200" s="15" t="inlineStr">
        <is>
          <t>Formal Diligence</t>
        </is>
      </c>
      <c r="C200" s="16">
        <f>HYPERLINK('Link Config'!$B$2&amp;"plugins/vc/tasks/run-technical-dd.md","Run Technical DD")</f>
        <v/>
      </c>
      <c r="D200" s="16">
        <f>HYPERLINK('Link Config'!$B$2&amp;"plugins/vc/skills/team-and-hiring-assessment/SKILL.md","team-and-hiring-assessment")</f>
        <v/>
      </c>
    </row>
    <row r="201" ht="18" customHeight="1" s="12">
      <c r="A201" s="15" t="inlineStr">
        <is>
          <t>Investment Management</t>
        </is>
      </c>
      <c r="B201" s="15" t="inlineStr">
        <is>
          <t>Formal Diligence</t>
        </is>
      </c>
      <c r="C201" s="16">
        <f>HYPERLINK('Link Config'!$B$2&amp;"plugins/vc/tasks/run-technical-dd.md","Run Technical DD")</f>
        <v/>
      </c>
      <c r="D201" s="16">
        <f>HYPERLINK('Link Config'!$B$2&amp;"plugins/vc/skills/red-flags-scanner/SKILL.md","red-flags-scanner")</f>
        <v/>
      </c>
    </row>
    <row r="202" ht="18" customHeight="1" s="12">
      <c r="A202" s="15" t="inlineStr">
        <is>
          <t>Investment Management</t>
        </is>
      </c>
      <c r="B202" s="15" t="inlineStr">
        <is>
          <t>Formal Diligence</t>
        </is>
      </c>
      <c r="C202" s="16">
        <f>HYPERLINK('Link Config'!$B$2&amp;"plugins/vc/tasks/run-technical-dd.md","Run Technical DD")</f>
        <v/>
      </c>
      <c r="D202" s="16">
        <f>HYPERLINK('Link Config'!$B$2&amp;"plugins/vc/skills/citation-enforcement/SKILL.md","citation-enforcement")</f>
        <v/>
      </c>
    </row>
    <row r="203" ht="18" customHeight="1" s="12">
      <c r="A203" s="15" t="inlineStr">
        <is>
          <t>Investment Management</t>
        </is>
      </c>
      <c r="B203" s="15" t="inlineStr">
        <is>
          <t>Formal Diligence</t>
        </is>
      </c>
      <c r="C203" s="16">
        <f>HYPERLINK('Link Config'!$B$2&amp;"plugins/vc/tasks/run-technical-dd.md","Run Technical DD")</f>
        <v/>
      </c>
      <c r="D203" s="16">
        <f>HYPERLINK('Link Config'!$B$2&amp;"plugins/vc/skills/technical-diligence-workstream/SKILL.md","technical-diligence-workstream")</f>
        <v/>
      </c>
    </row>
    <row r="204" ht="18" customHeight="1" s="12">
      <c r="A204" s="15" t="inlineStr">
        <is>
          <t>Investment Management</t>
        </is>
      </c>
      <c r="B204" s="15" t="inlineStr">
        <is>
          <t>Formal Diligence</t>
        </is>
      </c>
      <c r="C204" s="16">
        <f>HYPERLINK('Link Config'!$B$2&amp;"plugins/vc/tasks/run-legal-diligence.md","Run Legal Diligence")</f>
        <v/>
      </c>
      <c r="D204" s="16">
        <f>HYPERLINK('Link Config'!$B$2&amp;"plugins/vc/skills/legal-diligence-coordination/SKILL.md","legal-diligence-coordination")</f>
        <v/>
      </c>
    </row>
    <row r="205" ht="18" customHeight="1" s="12">
      <c r="A205" s="15" t="inlineStr">
        <is>
          <t>Investment Management</t>
        </is>
      </c>
      <c r="B205" s="15" t="inlineStr">
        <is>
          <t>Formal Diligence</t>
        </is>
      </c>
      <c r="C205" s="16">
        <f>HYPERLINK('Link Config'!$B$2&amp;"plugins/vc/tasks/run-legal-diligence.md","Run Legal Diligence")</f>
        <v/>
      </c>
      <c r="D205" s="16">
        <f>HYPERLINK('Link Config'!$B$2&amp;"plugins/vc/skills/red-flags-scanner/SKILL.md","red-flags-scanner")</f>
        <v/>
      </c>
    </row>
    <row r="206" ht="18" customHeight="1" s="12">
      <c r="A206" s="15" t="inlineStr">
        <is>
          <t>Investment Management</t>
        </is>
      </c>
      <c r="B206" s="15" t="inlineStr">
        <is>
          <t>Formal Diligence</t>
        </is>
      </c>
      <c r="C206" s="16">
        <f>HYPERLINK('Link Config'!$B$2&amp;"plugins/vc/tasks/run-legal-diligence.md","Run Legal Diligence")</f>
        <v/>
      </c>
      <c r="D206" s="16">
        <f>HYPERLINK('Link Config'!$B$2&amp;"plugins/vc/skills/citation-enforcement/SKILL.md","citation-enforcement")</f>
        <v/>
      </c>
    </row>
    <row r="207" ht="18" customHeight="1" s="12">
      <c r="A207" s="15" t="inlineStr">
        <is>
          <t>Investment Management</t>
        </is>
      </c>
      <c r="B207" s="15" t="inlineStr">
        <is>
          <t>Contracts</t>
        </is>
      </c>
      <c r="C207" s="16">
        <f>HYPERLINK('Link Config'!$B$2&amp;"plugins/vc/tasks/review-investment-documents.md","Review Investment Documents")</f>
        <v/>
      </c>
      <c r="D207" s="16">
        <f>HYPERLINK('Link Config'!$B$2&amp;"plugins/vc/skills/legal-diligence-coordination/SKILL.md","legal-diligence-coordination")</f>
        <v/>
      </c>
    </row>
    <row r="208" ht="18" customHeight="1" s="12">
      <c r="A208" s="15" t="inlineStr">
        <is>
          <t>Investment Management</t>
        </is>
      </c>
      <c r="B208" s="15" t="inlineStr">
        <is>
          <t>Contracts</t>
        </is>
      </c>
      <c r="C208" s="16">
        <f>HYPERLINK('Link Config'!$B$2&amp;"plugins/vc/tasks/review-investment-documents.md","Review Investment Documents")</f>
        <v/>
      </c>
      <c r="D208" s="16">
        <f>HYPERLINK('Link Config'!$B$2&amp;"plugins/vc/skills/closing-coordination-and-cp-tracking/SKILL.md","closing-coordination-and-cp-tracking")</f>
        <v/>
      </c>
    </row>
    <row r="209" ht="18" customHeight="1" s="12">
      <c r="A209" s="15" t="inlineStr">
        <is>
          <t>Investment Management</t>
        </is>
      </c>
      <c r="B209" s="15" t="inlineStr">
        <is>
          <t>Contracts</t>
        </is>
      </c>
      <c r="C209" s="16">
        <f>HYPERLINK('Link Config'!$B$2&amp;"plugins/vc/tasks/review-investment-documents.md","Review Investment Documents")</f>
        <v/>
      </c>
      <c r="D209" s="16">
        <f>HYPERLINK('Link Config'!$B$2&amp;"plugins/vc/skills/citation-enforcement/SKILL.md","citation-enforcement")</f>
        <v/>
      </c>
    </row>
    <row r="210" ht="18" customHeight="1" s="12">
      <c r="A210" s="15" t="inlineStr">
        <is>
          <t>Investment Management</t>
        </is>
      </c>
      <c r="B210" s="15" t="inlineStr">
        <is>
          <t>Closing</t>
        </is>
      </c>
      <c r="C210" s="16">
        <f>HYPERLINK('Link Config'!$B$2&amp;"plugins/vc/tasks/manage-closing-checklist.md","Manage Closing Checklist")</f>
        <v/>
      </c>
      <c r="D210" s="16">
        <f>HYPERLINK('Link Config'!$B$2&amp;"plugins/vc/skills/citation-enforcement/SKILL.md","citation-enforcement")</f>
        <v/>
      </c>
    </row>
    <row r="211" ht="18" customHeight="1" s="12">
      <c r="A211" s="15" t="inlineStr">
        <is>
          <t>Investment Management</t>
        </is>
      </c>
      <c r="B211" s="15" t="inlineStr">
        <is>
          <t>Closing</t>
        </is>
      </c>
      <c r="C211" s="16">
        <f>HYPERLINK('Link Config'!$B$2&amp;"plugins/vc/tasks/manage-closing-checklist.md","Manage Closing Checklist")</f>
        <v/>
      </c>
      <c r="D211" s="16">
        <f>HYPERLINK('Link Config'!$B$2&amp;"plugins/vc/skills/closing-coordination-and-cp-tracking/SKILL.md","closing-coordination-and-cp-tracking")</f>
        <v/>
      </c>
    </row>
    <row r="212" ht="18" customHeight="1" s="12">
      <c r="A212" s="15" t="inlineStr">
        <is>
          <t>Investment Management</t>
        </is>
      </c>
      <c r="B212" s="15" t="inlineStr">
        <is>
          <t>Closing</t>
        </is>
      </c>
      <c r="C212" s="16">
        <f>HYPERLINK('Link Config'!$B$2&amp;"plugins/vc/tasks/manage-closing-checklist.md","Manage Closing Checklist")</f>
        <v/>
      </c>
      <c r="D212" s="16">
        <f>HYPERLINK('Link Config'!$B$2&amp;"plugins/vc/skills/vc-task-and-next-step-generation/SKILL.md","vc-task-and-next-step-generation")</f>
        <v/>
      </c>
    </row>
    <row r="213" ht="18" customHeight="1" s="12">
      <c r="A213" s="15" t="inlineStr">
        <is>
          <t>Investment Management</t>
        </is>
      </c>
      <c r="B213" s="15" t="inlineStr">
        <is>
          <t>Closing</t>
        </is>
      </c>
      <c r="C213" s="16">
        <f>HYPERLINK('Link Config'!$B$2&amp;"plugins/vc/tasks/verify-conditions-precedent.md","Verify Conditions Precedent")</f>
        <v/>
      </c>
      <c r="D213" s="16">
        <f>HYPERLINK('Link Config'!$B$2&amp;"plugins/vc/skills/citation-enforcement/SKILL.md","citation-enforcement")</f>
        <v/>
      </c>
    </row>
    <row r="214" ht="18" customHeight="1" s="12">
      <c r="A214" s="15" t="inlineStr">
        <is>
          <t>Investment Management</t>
        </is>
      </c>
      <c r="B214" s="15" t="inlineStr">
        <is>
          <t>Closing</t>
        </is>
      </c>
      <c r="C214" s="16">
        <f>HYPERLINK('Link Config'!$B$2&amp;"plugins/vc/tasks/verify-conditions-precedent.md","Verify Conditions Precedent")</f>
        <v/>
      </c>
      <c r="D214" s="16">
        <f>HYPERLINK('Link Config'!$B$2&amp;"plugins/vc/skills/closing-coordination-and-cp-tracking/SKILL.md","closing-coordination-and-cp-tracking")</f>
        <v/>
      </c>
    </row>
    <row r="215" ht="18" customHeight="1" s="12">
      <c r="A215" s="15" t="inlineStr">
        <is>
          <t>Investment Management</t>
        </is>
      </c>
      <c r="B215" s="15" t="inlineStr">
        <is>
          <t>Closing</t>
        </is>
      </c>
      <c r="C215" s="16">
        <f>HYPERLINK('Link Config'!$B$2&amp;"plugins/vc/tasks/coordinate-capital-call-and-completion.md","Coordinate Capital Call And Completion")</f>
        <v/>
      </c>
      <c r="D215" s="16">
        <f>HYPERLINK('Link Config'!$B$2&amp;"plugins/vc/skills/closing-coordination-and-cp-tracking/SKILL.md","closing-coordination-and-cp-tracking")</f>
        <v/>
      </c>
    </row>
    <row r="216" ht="18" customHeight="1" s="12">
      <c r="A216" s="15" t="inlineStr">
        <is>
          <t>Investment Management</t>
        </is>
      </c>
      <c r="B216" s="15" t="inlineStr">
        <is>
          <t>Closing</t>
        </is>
      </c>
      <c r="C216" s="16">
        <f>HYPERLINK('Link Config'!$B$2&amp;"plugins/vc/tasks/coordinate-capital-call-and-completion.md","Coordinate Capital Call And Completion")</f>
        <v/>
      </c>
      <c r="D216" s="16">
        <f>HYPERLINK('Link Config'!$B$2&amp;"plugins/vc/skills/vc-task-and-next-step-generation/SKILL.md","vc-task-and-next-step-generation")</f>
        <v/>
      </c>
    </row>
    <row r="217" ht="18" customHeight="1" s="12">
      <c r="A217" s="15" t="inlineStr">
        <is>
          <t>Investment Management</t>
        </is>
      </c>
      <c r="B217" s="15" t="inlineStr">
        <is>
          <t>Closing</t>
        </is>
      </c>
      <c r="C217" s="16">
        <f>HYPERLINK('Link Config'!$B$2&amp;"plugins/vc/tasks/coordinate-capital-call-and-completion.md","Coordinate Capital Call And Completion")</f>
        <v/>
      </c>
      <c r="D217" s="16">
        <f>HYPERLINK('Link Config'!$B$2&amp;"plugins/vc/skills/citation-enforcement/SKILL.md","citation-enforcement")</f>
        <v/>
      </c>
    </row>
    <row r="218" ht="18" customHeight="1" s="12">
      <c r="A218" s="15" t="inlineStr">
        <is>
          <t>Investment Management</t>
        </is>
      </c>
      <c r="B218" s="15" t="inlineStr">
        <is>
          <t>Closing</t>
        </is>
      </c>
      <c r="C218" s="16">
        <f>HYPERLINK('Link Config'!$B$2&amp;"plugins/vc/tasks/prepare-portfolio-onboarding.md","Prepare Portfolio Onboarding")</f>
        <v/>
      </c>
      <c r="D218" s="16">
        <f>HYPERLINK('Link Config'!$B$2&amp;"plugins/vc/skills/citation-enforcement/SKILL.md","citation-enforcement")</f>
        <v/>
      </c>
    </row>
    <row r="219" ht="18" customHeight="1" s="12">
      <c r="A219" s="15" t="inlineStr">
        <is>
          <t>Investment Management</t>
        </is>
      </c>
      <c r="B219" s="15" t="inlineStr">
        <is>
          <t>Closing</t>
        </is>
      </c>
      <c r="C219" s="16">
        <f>HYPERLINK('Link Config'!$B$2&amp;"plugins/vc/tasks/prepare-portfolio-onboarding.md","Prepare Portfolio Onboarding")</f>
        <v/>
      </c>
      <c r="D219" s="16">
        <f>HYPERLINK('Link Config'!$B$2&amp;"plugins/vc/skills/portfolio-onboarding-and-100-day-plan/SKILL.md","portfolio-onboarding-and-100-day-plan")</f>
        <v/>
      </c>
    </row>
  </sheetData>
  <autoFilter ref="A1:D219"/>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187"/>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General</t>
        </is>
      </c>
      <c r="C3" s="16">
        <f>HYPERLINK('Link Config'!$B$2&amp;"plugins/vc/tasks/prepare-initial-call.md","Prepare Meeting")</f>
        <v/>
      </c>
      <c r="D3" s="16">
        <f>HYPERLINK('Link Config'!$B$2&amp;"plugins/vc/alludium/documents/deal-room/initial-call-brief-template.md","Initial Call Brief Template (vc.document.initial_call_brief_template)")</f>
        <v/>
      </c>
      <c r="E3" s="15" t="inlineStr">
        <is>
          <t>output_template</t>
        </is>
      </c>
      <c r="F3" s="15" t="inlineStr">
        <is>
          <t>initial_call_brief_artifact_id</t>
        </is>
      </c>
    </row>
    <row r="4" ht="18" customHeight="1" s="12">
      <c r="A4" s="15" t="inlineStr">
        <is>
          <t>Deal Pipeline</t>
        </is>
      </c>
      <c r="B4" s="15" t="inlineStr">
        <is>
          <t>General</t>
        </is>
      </c>
      <c r="C4" s="16">
        <f>HYPERLINK('Link Config'!$B$2&amp;"plugins/vc/tasks/prepare-initial-call.md","Prepare Meeting")</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General</t>
        </is>
      </c>
      <c r="C5" s="16">
        <f>HYPERLINK('Link Config'!$B$2&amp;"plugins/vc/tasks/prepare-initial-call.md","Prepare Meeting")</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Config'!$B$2&amp;"plugins/vc/tasks/request-founder-materials.md","Request Founder Materials")</f>
        <v/>
      </c>
      <c r="D6" s="16">
        <f>HYPERLINK('Link Config'!$B$2&amp;"plugins/vc/alludium/documents/deal-room/founder-materials-request-template.md","Founder Materials Request Template (vc.document.founder_materials_request_template)")</f>
        <v/>
      </c>
      <c r="E6" s="15" t="inlineStr">
        <is>
          <t>output_template</t>
        </is>
      </c>
      <c r="F6" s="15" t="inlineStr">
        <is>
          <t>founder_materials_request_artifact_id</t>
        </is>
      </c>
    </row>
    <row r="7" ht="18" customHeight="1" s="12">
      <c r="A7" s="15" t="inlineStr">
        <is>
          <t>Deal Pipeline</t>
        </is>
      </c>
      <c r="B7" s="15" t="inlineStr">
        <is>
          <t>General</t>
        </is>
      </c>
      <c r="C7" s="16">
        <f>HYPERLINK('Link Config'!$B$2&amp;"plugins/vc/tasks/request-founder-materials.md","Request Founder Materials")</f>
        <v/>
      </c>
      <c r="D7" s="16">
        <f>HYPERLINK('Link Config'!$B$2&amp;"plugins/vc/alludium/documents/shared/file-naming-source-index-sop.md","File Naming And Source Index SOP (vc.document.file_naming_source_index_sop)")</f>
        <v/>
      </c>
      <c r="E7" s="15" t="inlineStr">
        <is>
          <t>operating_guidance</t>
        </is>
      </c>
      <c r="F7" s="15" t="inlineStr"/>
    </row>
    <row r="8" ht="18" customHeight="1" s="12">
      <c r="A8" s="15" t="inlineStr">
        <is>
          <t>Deal Pipeline</t>
        </is>
      </c>
      <c r="B8" s="15" t="inlineStr">
        <is>
          <t>General</t>
        </is>
      </c>
      <c r="C8" s="16">
        <f>HYPERLINK('Link Config'!$B$2&amp;"plugins/vc/tasks/request-founder-materials.md","Request Founder Materials")</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Config'!$B$2&amp;"plugins/vc/tasks/summarize-initial-call.md","Summarize Meeting Records")</f>
        <v/>
      </c>
      <c r="D9" s="16">
        <f>HYPERLINK('Link Config'!$B$2&amp;"plugins/vc/alludium/documents/deal-room/customer-insights-summary-template.md","Customer Insights Summary Template (vc.document.customer_insights_summary_template)")</f>
        <v/>
      </c>
      <c r="E9" s="15" t="inlineStr">
        <is>
          <t>output_template</t>
        </is>
      </c>
      <c r="F9" s="15" t="inlineStr">
        <is>
          <t>customer_insights_artifact_id</t>
        </is>
      </c>
    </row>
    <row r="10" ht="18" customHeight="1" s="12">
      <c r="A10" s="15" t="inlineStr">
        <is>
          <t>Deal Pipeline</t>
        </is>
      </c>
      <c r="B10" s="15" t="inlineStr">
        <is>
          <t>General</t>
        </is>
      </c>
      <c r="C10" s="16">
        <f>HYPERLINK('Link Config'!$B$2&amp;"plugins/vc/tasks/summarize-initial-call.md","Summarize Meeting Records")</f>
        <v/>
      </c>
      <c r="D10" s="16">
        <f>HYPERLINK('Link Config'!$B$2&amp;"plugins/vc/alludium/documents/shared/evidence-citation-style-guide.md","Evidence And Citation Style Guide (vc.document.evidence_citation_style_guide)")</f>
        <v/>
      </c>
      <c r="E10" s="15" t="inlineStr">
        <is>
          <t>style_guide</t>
        </is>
      </c>
      <c r="F10" s="15" t="inlineStr"/>
    </row>
    <row r="11" ht="18" customHeight="1" s="12">
      <c r="A11" s="15" t="inlineStr">
        <is>
          <t>Deal Pipeline</t>
        </is>
      </c>
      <c r="B11" s="15" t="inlineStr">
        <is>
          <t>General</t>
        </is>
      </c>
      <c r="C11" s="16">
        <f>HYPERLINK('Link Config'!$B$2&amp;"plugins/vc/tasks/summarize-initial-call.md","Summarize Meeting Records")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Config'!$B$2&amp;"plugins/vc/tasks/review-opportunity-status.md","Review Opportunity Status")</f>
        <v/>
      </c>
      <c r="D12" s="16">
        <f>HYPERLINK('Link Config'!$B$2&amp;"plugins/vc/alludium/documents/deal-room/deal-room-sop.md","Deal Pipeline Operating SOP (vc.document.deal_room_sop)")</f>
        <v/>
      </c>
      <c r="E12" s="15" t="inlineStr">
        <is>
          <t>operating_guidance</t>
        </is>
      </c>
      <c r="F12" s="15" t="inlineStr"/>
    </row>
    <row r="13" ht="18" customHeight="1" s="12">
      <c r="A13" s="15" t="inlineStr">
        <is>
          <t>Deal Pipeline</t>
        </is>
      </c>
      <c r="B13" s="15" t="inlineStr">
        <is>
          <t>General</t>
        </is>
      </c>
      <c r="C13" s="16">
        <f>HYPERLINK('Link Config'!$B$2&amp;"plugins/vc/tasks/review-opportunity-status.md","Review Opportunity Status")</f>
        <v/>
      </c>
      <c r="D13" s="16">
        <f>HYPERLINK('Link Config'!$B$2&amp;"plugins/vc/alludium/documents/shared/opportunity-evaluation-framework.md","Opportunity Evaluation Framework (vc.document.opportunity_evaluation_framework)")</f>
        <v/>
      </c>
      <c r="E13" s="15" t="inlineStr">
        <is>
          <t>methodology</t>
        </is>
      </c>
      <c r="F13" s="15" t="inlineStr"/>
    </row>
    <row r="14" ht="18" customHeight="1" s="12">
      <c r="A14" s="15" t="inlineStr">
        <is>
          <t>Deal Pipeline</t>
        </is>
      </c>
      <c r="B14" s="15" t="inlineStr">
        <is>
          <t>General</t>
        </is>
      </c>
      <c r="C14" s="16">
        <f>HYPERLINK('Link Config'!$B$2&amp;"plugins/vc/tasks/review-opportunity-status.md","Review Opportunity Status")</f>
        <v/>
      </c>
      <c r="D14" s="16">
        <f>HYPERLINK('Link Config'!$B$2&amp;"plugins/vc/alludium/documents/shared/evaluation-workstream-guide.md","Evaluation Workstream Guide (vc.document.evaluation_workstream_guide)")</f>
        <v/>
      </c>
      <c r="E14" s="15" t="inlineStr">
        <is>
          <t>methodology</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Config'!$B$2&amp;"plugins/vc/alludium/documents/shared/evidence-citation-style-guide.md","Evidence And Citation Style Guide (vc.document.evidence_citation_style_guide)")</f>
        <v/>
      </c>
      <c r="E15" s="15" t="inlineStr">
        <is>
          <t>style_guide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Config'!$B$2&amp;"plugins/vc/alludium/documents/shared/template-use-guidance.md","Template Use Guidance (vc.document.template_use_guidance)")</f>
        <v/>
      </c>
      <c r="E16" s="15" t="inlineStr">
        <is>
          <t>operating_guidance</t>
        </is>
      </c>
      <c r="F16" s="15" t="inlineStr"/>
    </row>
    <row r="17" ht="18" customHeight="1" s="12">
      <c r="A17" s="15" t="inlineStr">
        <is>
          <t>Deal Pipeline</t>
        </is>
      </c>
      <c r="B17" s="15" t="inlineStr">
        <is>
          <t>Intake</t>
        </is>
      </c>
      <c r="C17" s="16">
        <f>HYPERLINK('Link Config'!$B$2&amp;"plugins/vc/tasks/screen-inbound-opportunity.md","Capture Opportunity Intake")</f>
        <v/>
      </c>
      <c r="D17" s="16">
        <f>HYPERLINK('Link Config'!$B$2&amp;"plugins/vc/alludium/documents/deal-room/deal-room-sop.md","Deal Pipeline Operating SOP (vc.document.deal_room_sop)")</f>
        <v/>
      </c>
      <c r="E17" s="15" t="inlineStr">
        <is>
          <t>operating_guidance</t>
        </is>
      </c>
      <c r="F17" s="15" t="inlineStr"/>
    </row>
    <row r="18" ht="18" customHeight="1" s="12">
      <c r="A18" s="15" t="inlineStr">
        <is>
          <t>Deal Pipeline</t>
        </is>
      </c>
      <c r="B18" s="15" t="inlineStr">
        <is>
          <t>Intake</t>
        </is>
      </c>
      <c r="C18" s="16">
        <f>HYPERLINK('Link Config'!$B$2&amp;"plugins/vc/tasks/screen-inbound-opportunity.md","Capture Opportunity Intake")</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Intake</t>
        </is>
      </c>
      <c r="C19" s="16">
        <f>HYPERLINK('Link Config'!$B$2&amp;"plugins/vc/tasks/screen-inbound-opportunity.md","Capture Opportunity Intake")</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Management</t>
        </is>
      </c>
      <c r="C107" s="16">
        <f>HYPERLINK('Link Config'!$B$2&amp;"plugins/vc/tasks/run-sourcing-pipeline.md","Run VC Sourcing Pipeline")</f>
        <v/>
      </c>
      <c r="D107" s="16">
        <f>HYPERLINK('Link Config'!$B$2&amp;"plugins/vc/alludium/documents/origination/candidate-batch-template.md","Candidate Batch Template (vc.document.candidate_batch_template)")</f>
        <v/>
      </c>
      <c r="E107" s="15" t="inlineStr">
        <is>
          <t>output_template</t>
        </is>
      </c>
      <c r="F107" s="15" t="inlineStr">
        <is>
          <t>candidate_batch_artifact_id</t>
        </is>
      </c>
    </row>
    <row r="108" ht="18" customHeight="1" s="12">
      <c r="A108" s="15" t="inlineStr">
        <is>
          <t>Origination Pipeline</t>
        </is>
      </c>
      <c r="B108" s="15" t="inlineStr">
        <is>
          <t>Management</t>
        </is>
      </c>
      <c r="C108" s="16">
        <f>HYPERLINK('Link Config'!$B$2&amp;"plugins/vc/tasks/run-sourcing-pipeline.md","Run VC Sourcing Pipeline")</f>
        <v/>
      </c>
      <c r="D108" s="16">
        <f>HYPERLINK('Link Config'!$B$2&amp;"plugins/vc/alludium/documents/origination/origination-pipeline-sop.md","Origination Pipeline Operating SOP (vc.document.origination_pipeline_sop)")</f>
        <v/>
      </c>
      <c r="E108" s="15" t="inlineStr">
        <is>
          <t>operating_guidance</t>
        </is>
      </c>
      <c r="F108" s="15" t="inlineStr"/>
    </row>
    <row r="109" ht="18" customHeight="1" s="12">
      <c r="A109" s="15" t="inlineStr">
        <is>
          <t>Origination Pipeline</t>
        </is>
      </c>
      <c r="B109" s="15" t="inlineStr">
        <is>
          <t>Management</t>
        </is>
      </c>
      <c r="C109" s="16">
        <f>HYPERLINK('Link Config'!$B$2&amp;"plugins/vc/tasks/run-sourcing-pipeline.md","Run VC Sourcing Pipeline")</f>
        <v/>
      </c>
      <c r="D109" s="16">
        <f>HYPERLINK('Link Config'!$B$2&amp;"plugins/vc/alludium/documents/origination/origination-source-strategy-guide.md","Origination Source Strategy Guide (vc.document.origination_source_strategy_guide)")</f>
        <v/>
      </c>
      <c r="E109" s="15" t="inlineStr">
        <is>
          <t>methodology</t>
        </is>
      </c>
      <c r="F109" s="15" t="inlineStr"/>
    </row>
    <row r="110" ht="18" customHeight="1" s="12">
      <c r="A110" s="15" t="inlineStr">
        <is>
          <t>Origination Pipeline</t>
        </is>
      </c>
      <c r="B110" s="15" t="inlineStr">
        <is>
          <t>Management</t>
        </is>
      </c>
      <c r="C110" s="16">
        <f>HYPERLINK('Link Config'!$B$2&amp;"plugins/vc/tasks/run-sourcing-pipeline.md","Run VC Sourcing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Management</t>
        </is>
      </c>
      <c r="C111" s="16">
        <f>HYPERLINK('Link Config'!$B$2&amp;"plugins/vc/tasks/generate-sourcing-digest.md","Generate Sourcing Digest")</f>
        <v/>
      </c>
      <c r="D111" s="16">
        <f>HYPERLINK('Link Config'!$B$2&amp;"plugins/vc/alludium/documents/origination/sourcing-digest-template.md","Sourcing Digest Template (vc.document.sourcing_digest_template)")</f>
        <v/>
      </c>
      <c r="E111" s="15" t="inlineStr">
        <is>
          <t>output_template</t>
        </is>
      </c>
      <c r="F111" s="15" t="inlineStr">
        <is>
          <t>sourcing_digest_artifact_id</t>
        </is>
      </c>
    </row>
    <row r="112" ht="18" customHeight="1" s="12">
      <c r="A112" s="15" t="inlineStr">
        <is>
          <t>Origination Pipeline</t>
        </is>
      </c>
      <c r="B112" s="15" t="inlineStr">
        <is>
          <t>Management</t>
        </is>
      </c>
      <c r="C112" s="16">
        <f>HYPERLINK('Link Config'!$B$2&amp;"plugins/vc/tasks/generate-sourcing-digest.md","Generate Sourcing Digest")</f>
        <v/>
      </c>
      <c r="D112" s="16">
        <f>HYPERLINK('Link Config'!$B$2&amp;"plugins/vc/alludium/documents/shared/template-use-guidance.md","Template Use Guidance (vc.document.template_use_guidance)")</f>
        <v/>
      </c>
      <c r="E112" s="15" t="inlineStr">
        <is>
          <t>operating_guidance</t>
        </is>
      </c>
      <c r="F112" s="15" t="inlineStr"/>
    </row>
    <row r="113" ht="18" customHeight="1" s="12">
      <c r="A113" s="15" t="inlineStr">
        <is>
          <t>Origination Pipeline</t>
        </is>
      </c>
      <c r="B113" s="15" t="inlineStr">
        <is>
          <t>Management</t>
        </is>
      </c>
      <c r="C113" s="16">
        <f>HYPERLINK('Link Config'!$B$2&amp;"plugins/vc/tasks/review-source-errors-and-spend.md","Review Source Errors and Spend")</f>
        <v/>
      </c>
      <c r="D113" s="16">
        <f>HYPERLINK('Link Config'!$B$2&amp;"plugins/vc/alludium/documents/origination/source-health-review-checklist.md","Source Health Review Checklist (vc.document.source_health_review_checklist)")</f>
        <v/>
      </c>
      <c r="E113" s="15" t="inlineStr">
        <is>
          <t>output_template</t>
        </is>
      </c>
      <c r="F113" s="15" t="inlineStr">
        <is>
          <t>source_health_artifact_id</t>
        </is>
      </c>
    </row>
    <row r="114" ht="18" customHeight="1" s="12">
      <c r="A114" s="15" t="inlineStr">
        <is>
          <t>Origination Pipeline</t>
        </is>
      </c>
      <c r="B114" s="15" t="inlineStr">
        <is>
          <t>Management</t>
        </is>
      </c>
      <c r="C114" s="16">
        <f>HYPERLINK('Link Config'!$B$2&amp;"plugins/vc/tasks/review-source-errors-and-spend.md","Review Source Errors and Spend")</f>
        <v/>
      </c>
      <c r="D114" s="16">
        <f>HYPERLINK('Link Config'!$B$2&amp;"plugins/vc/alludium/documents/origination/paid-source-spend-audit-checklist.md","Paid Source Spend Audit Checklist (vc.document.paid_source_spend_audit_checklist)")</f>
        <v/>
      </c>
      <c r="E114" s="15" t="inlineStr">
        <is>
          <t>checklist</t>
        </is>
      </c>
      <c r="F114" s="15" t="inlineStr"/>
    </row>
    <row r="115" ht="18" customHeight="1" s="12">
      <c r="A115" s="15" t="inlineStr">
        <is>
          <t>Origination Pipeline</t>
        </is>
      </c>
      <c r="B115" s="15" t="inlineStr">
        <is>
          <t>Management</t>
        </is>
      </c>
      <c r="C115" s="16">
        <f>HYPERLINK('Link Config'!$B$2&amp;"plugins/vc/tasks/review-source-errors-and-spend.md","Review Source Errors and Spend")</f>
        <v/>
      </c>
      <c r="D115" s="16">
        <f>HYPERLINK('Link Config'!$B$2&amp;"plugins/vc/alludium/documents/shared/template-use-guidance.md","Template Use Guidance (vc.document.template_use_guidance)")</f>
        <v/>
      </c>
      <c r="E115" s="15" t="inlineStr">
        <is>
          <t>operating_guidance</t>
        </is>
      </c>
      <c r="F115" s="15" t="inlineStr"/>
    </row>
    <row r="116" ht="18" customHeight="1" s="12">
      <c r="A116" s="15" t="inlineStr">
        <is>
          <t>Origination Pipeline</t>
        </is>
      </c>
      <c r="B116" s="15" t="inlineStr">
        <is>
          <t>Management</t>
        </is>
      </c>
      <c r="C116" s="16">
        <f>HYPERLINK('Link Config'!$B$2&amp;"plugins/vc/tasks/screen-active-sourcing-candidates.md","Screen Active Sourcing Candidates")</f>
        <v/>
      </c>
      <c r="D116" s="16">
        <f>HYPERLINK('Link Config'!$B$2&amp;"plugins/vc/alludium/documents/origination/sourcing-scoring-rubric.md","Sourcing Scoring Rubric (vc.document.sourcing_scoring_rubric)")</f>
        <v/>
      </c>
      <c r="E116" s="15" t="inlineStr">
        <is>
          <t>methodology</t>
        </is>
      </c>
      <c r="F116" s="15" t="inlineStr">
        <is>
          <t>screening_artifact_id</t>
        </is>
      </c>
    </row>
    <row r="117" ht="18" customHeight="1" s="12">
      <c r="A117" s="15" t="inlineStr">
        <is>
          <t>Origination Pipeline</t>
        </is>
      </c>
      <c r="B117" s="15" t="inlineStr">
        <is>
          <t>Management</t>
        </is>
      </c>
      <c r="C117" s="16">
        <f>HYPERLINK('Link Config'!$B$2&amp;"plugins/vc/tasks/screen-active-sourcing-candidates.md","Screen Active Sourcing Candidates")</f>
        <v/>
      </c>
      <c r="D117" s="16">
        <f>HYPERLINK('Link Config'!$B$2&amp;"plugins/vc/alludium/documents/origination/origination-source-strategy-guide.md","Origination Source Strategy Guide (vc.document.origination_source_strategy_guide)")</f>
        <v/>
      </c>
      <c r="E117" s="15" t="inlineStr">
        <is>
          <t>methodology</t>
        </is>
      </c>
      <c r="F117" s="15" t="inlineStr"/>
    </row>
    <row r="118" ht="18" customHeight="1" s="12">
      <c r="A118" s="15" t="inlineStr">
        <is>
          <t>Origination Pipeline</t>
        </is>
      </c>
      <c r="B118" s="15" t="inlineStr">
        <is>
          <t>Management</t>
        </is>
      </c>
      <c r="C118" s="16">
        <f>HYPERLINK('Link Config'!$B$2&amp;"plugins/vc/tasks/screen-active-sourcing-candidates.md","Screen Active Sourcing Candidates")</f>
        <v/>
      </c>
      <c r="D118" s="16">
        <f>HYPERLINK('Link Config'!$B$2&amp;"plugins/vc/alludium/documents/origination/dedupe-novelty-policy.md","Dedupe And Novelty Policy (vc.document.dedupe_novelty_policy)")</f>
        <v/>
      </c>
      <c r="E118" s="15" t="inlineStr">
        <is>
          <t>policy</t>
        </is>
      </c>
      <c r="F118" s="15" t="inlineStr"/>
    </row>
    <row r="119" ht="18" customHeight="1" s="12">
      <c r="A119" s="15" t="inlineStr">
        <is>
          <t>Origination Pipeline</t>
        </is>
      </c>
      <c r="B119" s="15" t="inlineStr">
        <is>
          <t>Management</t>
        </is>
      </c>
      <c r="C119" s="16">
        <f>HYPERLINK('Link Config'!$B$2&amp;"plugins/vc/tasks/screen-active-sourcing-candidates.md","Screen Active Sourcing Candidates")</f>
        <v/>
      </c>
      <c r="D119" s="16">
        <f>HYPERLINK('Link Config'!$B$2&amp;"plugins/vc/alludium/documents/shared/template-use-guidance.md","Template Use Guidance (vc.document.template_use_guidance)")</f>
        <v/>
      </c>
      <c r="E119" s="15" t="inlineStr">
        <is>
          <t>operating_guidance</t>
        </is>
      </c>
      <c r="F119" s="15" t="inlineStr"/>
    </row>
    <row r="120" ht="18" customHeight="1" s="12">
      <c r="A120" s="15" t="inlineStr">
        <is>
          <t>Origination Pipeline</t>
        </is>
      </c>
      <c r="B120" s="15" t="inlineStr">
        <is>
          <t>Management</t>
        </is>
      </c>
      <c r="C120" s="16">
        <f>HYPERLINK('Link Config'!$B$2&amp;"plugins/vc/tasks/prepare-outreach-draft-queue.md","Prepare Outreach Draft Queue")</f>
        <v/>
      </c>
      <c r="D120" s="16">
        <f>HYPERLINK('Link Config'!$B$2&amp;"plugins/vc/alludium/documents/origination/outreach-queue-template.md","Outreach Queue Template (vc.document.outreach_queue_template)")</f>
        <v/>
      </c>
      <c r="E120" s="15" t="inlineStr">
        <is>
          <t>output_template</t>
        </is>
      </c>
      <c r="F120" s="15" t="inlineStr">
        <is>
          <t>outreach_queue_artifact_id</t>
        </is>
      </c>
    </row>
    <row r="121" ht="18" customHeight="1" s="12">
      <c r="A121" s="15" t="inlineStr">
        <is>
          <t>Origination Pipeline</t>
        </is>
      </c>
      <c r="B121" s="15" t="inlineStr">
        <is>
          <t>Management</t>
        </is>
      </c>
      <c r="C121" s="16">
        <f>HYPERLINK('Link Config'!$B$2&amp;"plugins/vc/tasks/prepare-outreach-draft-queue.md","Prepare Outreach Draft Queue")</f>
        <v/>
      </c>
      <c r="D121" s="16">
        <f>HYPERLINK('Link Config'!$B$2&amp;"plugins/vc/alludium/documents/shared/template-use-guidance.md","Template Use Guidance (vc.document.template_use_guidance)")</f>
        <v/>
      </c>
      <c r="E121" s="15" t="inlineStr">
        <is>
          <t>operating_guidance</t>
        </is>
      </c>
      <c r="F121" s="15" t="inlineStr"/>
    </row>
    <row r="122" ht="18" customHeight="1" s="12">
      <c r="A122" s="15" t="inlineStr">
        <is>
          <t>Origination Pipeline</t>
        </is>
      </c>
      <c r="B122" s="15" t="inlineStr">
        <is>
          <t>Management</t>
        </is>
      </c>
      <c r="C122" s="16">
        <f>HYPERLINK('Link Config'!$B$2&amp;"plugins/vc/tasks/audit-linkedin-query-spend.md","Audit LinkedIn Query Spend")</f>
        <v/>
      </c>
      <c r="D122" s="16">
        <f>HYPERLINK('Link Config'!$B$2&amp;"plugins/vc/alludium/documents/origination/paid-source-spend-audit-checklist.md","Paid Source Spend Audit Checklist (vc.document.paid_source_spend_audit_checklist)")</f>
        <v/>
      </c>
      <c r="E122" s="15" t="inlineStr">
        <is>
          <t>output_template</t>
        </is>
      </c>
      <c r="F122" s="15" t="inlineStr">
        <is>
          <t>linkedin_spend_audit_artifact_id</t>
        </is>
      </c>
    </row>
    <row r="123" ht="18" customHeight="1" s="12">
      <c r="A123" s="15" t="inlineStr">
        <is>
          <t>Origination Pipeline</t>
        </is>
      </c>
      <c r="B123" s="15" t="inlineStr">
        <is>
          <t>Management</t>
        </is>
      </c>
      <c r="C123" s="16">
        <f>HYPERLINK('Link Config'!$B$2&amp;"plugins/vc/tasks/audit-linkedin-query-spend.md","Audit LinkedIn Query Spend")</f>
        <v/>
      </c>
      <c r="D123" s="16">
        <f>HYPERLINK('Link Config'!$B$2&amp;"plugins/vc/alludium/documents/shared/template-use-guidance.md","Template Use Guidance (vc.document.template_use_guidance)")</f>
        <v/>
      </c>
      <c r="E123" s="15" t="inlineStr">
        <is>
          <t>operating_guidance</t>
        </is>
      </c>
      <c r="F123" s="15" t="inlineStr"/>
    </row>
    <row r="124" ht="18" customHeight="1" s="12">
      <c r="A124" s="15" t="inlineStr">
        <is>
          <t>Origination Pipeline</t>
        </is>
      </c>
      <c r="B124" s="15" t="inlineStr">
        <is>
          <t>Management</t>
        </is>
      </c>
      <c r="C124" s="16">
        <f>HYPERLINK('Link Config'!$B$2&amp;"plugins/vc/tasks/prepare-lead-gen-packet.md","Prepare Lead Gen Packet")</f>
        <v/>
      </c>
      <c r="D124" s="16">
        <f>HYPERLINK('Link Config'!$B$2&amp;"plugins/vc/alludium/documents/deal-room/lead-generation-packet-template.md","Lead Generation Packet Template (vc.document.lead_generation_packet_template)")</f>
        <v/>
      </c>
      <c r="E124" s="15" t="inlineStr">
        <is>
          <t>output_template</t>
        </is>
      </c>
      <c r="F124" s="15" t="inlineStr">
        <is>
          <t>lead_generation_packet_artifact_id</t>
        </is>
      </c>
    </row>
    <row r="125" ht="18" customHeight="1" s="12">
      <c r="A125" s="15" t="inlineStr">
        <is>
          <t>Origination Pipeline</t>
        </is>
      </c>
      <c r="B125" s="15" t="inlineStr">
        <is>
          <t>Management</t>
        </is>
      </c>
      <c r="C125" s="16">
        <f>HYPERLINK('Link Config'!$B$2&amp;"plugins/vc/tasks/prepare-lead-gen-packet.md","Prepare Lead Gen Packet")</f>
        <v/>
      </c>
      <c r="D125" s="16">
        <f>HYPERLINK('Link Config'!$B$2&amp;"plugins/vc/alludium/documents/origination/origination-source-strategy-guide.md","Origination Source Strategy Guide (vc.document.origination_source_strategy_guide)")</f>
        <v/>
      </c>
      <c r="E125" s="15" t="inlineStr">
        <is>
          <t>methodology</t>
        </is>
      </c>
      <c r="F125" s="15" t="inlineStr"/>
    </row>
    <row r="126" ht="18" customHeight="1" s="12">
      <c r="A126" s="15" t="inlineStr">
        <is>
          <t>Origination Pipeline</t>
        </is>
      </c>
      <c r="B126" s="15" t="inlineStr">
        <is>
          <t>Management</t>
        </is>
      </c>
      <c r="C126" s="16">
        <f>HYPERLINK('Link Config'!$B$2&amp;"plugins/vc/tasks/prepare-lead-gen-packet.md","Prepare Lead Gen Packet")</f>
        <v/>
      </c>
      <c r="D126" s="16">
        <f>HYPERLINK('Link Config'!$B$2&amp;"plugins/vc/alludium/documents/shared/evidence-citation-style-guide.md","Evidence And Citation Style Guide (vc.document.evidence_citation_style_guide)")</f>
        <v/>
      </c>
      <c r="E126" s="15" t="inlineStr">
        <is>
          <t>style_guide</t>
        </is>
      </c>
      <c r="F126" s="15" t="inlineStr"/>
    </row>
    <row r="127" ht="18" customHeight="1" s="12">
      <c r="A127" s="15" t="inlineStr">
        <is>
          <t>Origination Pipeline</t>
        </is>
      </c>
      <c r="B127" s="15" t="inlineStr">
        <is>
          <t>Management</t>
        </is>
      </c>
      <c r="C127" s="16">
        <f>HYPERLINK('Link Config'!$B$2&amp;"plugins/vc/tasks/prepare-lead-gen-packet.md","Prepare Lead Gen Packet")</f>
        <v/>
      </c>
      <c r="D127" s="16">
        <f>HYPERLINK('Link Config'!$B$2&amp;"plugins/vc/alludium/documents/shared/template-use-guidance.md","Template Use Guidance (vc.document.template_use_guidance)")</f>
        <v/>
      </c>
      <c r="E127" s="15" t="inlineStr">
        <is>
          <t>operating_guidance</t>
        </is>
      </c>
      <c r="F127" s="15" t="inlineStr"/>
    </row>
    <row r="128" ht="18" customHeight="1" s="12">
      <c r="A128" s="15" t="inlineStr">
        <is>
          <t>Origination Pipeline</t>
        </is>
      </c>
      <c r="B128" s="15" t="inlineStr">
        <is>
          <t>Draft</t>
        </is>
      </c>
      <c r="C128" s="16">
        <f>HYPERLINK('Link Config'!$B$2&amp;"plugins/vc/tasks/configure-origination-pipeline.md","Configure Origination Pipeline")</f>
        <v/>
      </c>
      <c r="D128" s="16">
        <f>HYPERLINK('Link Config'!$B$2&amp;"plugins/vc/alludium/documents/origination/origination-pipeline-sop.md","Origination Pipeline Operating SOP (vc.document.origination_pipeline_sop)")</f>
        <v/>
      </c>
      <c r="E128" s="15" t="inlineStr">
        <is>
          <t>operating_guidance</t>
        </is>
      </c>
      <c r="F128" s="15" t="inlineStr"/>
    </row>
    <row r="129" ht="18" customHeight="1" s="12">
      <c r="A129" s="15" t="inlineStr">
        <is>
          <t>Origination Pipeline</t>
        </is>
      </c>
      <c r="B129" s="15" t="inlineStr">
        <is>
          <t>Draft</t>
        </is>
      </c>
      <c r="C129" s="16">
        <f>HYPERLINK('Link Config'!$B$2&amp;"plugins/vc/tasks/configure-origination-pipeline.md","Configure Origination Pipeline")</f>
        <v/>
      </c>
      <c r="D129" s="16">
        <f>HYPERLINK('Link Config'!$B$2&amp;"plugins/vc/alludium/documents/origination/origination-source-strategy-guide.md","Origination Source Strategy Guide (vc.document.origination_source_strategy_guide)")</f>
        <v/>
      </c>
      <c r="E129" s="15" t="inlineStr">
        <is>
          <t>methodology</t>
        </is>
      </c>
      <c r="F129" s="15" t="inlineStr"/>
    </row>
    <row r="130" ht="18" customHeight="1" s="12">
      <c r="A130" s="15" t="inlineStr">
        <is>
          <t>Origination Pipeline</t>
        </is>
      </c>
      <c r="B130" s="15" t="inlineStr">
        <is>
          <t>Draft</t>
        </is>
      </c>
      <c r="C130" s="16">
        <f>HYPERLINK('Link Config'!$B$2&amp;"plugins/vc/tasks/configure-origination-pipeline.md","Configure Origination Pipeline")</f>
        <v/>
      </c>
      <c r="D130" s="16">
        <f>HYPERLINK('Link Config'!$B$2&amp;"plugins/vc/alludium/documents/origination/source-registry-template.md","Source Registry Template (vc.document.source_registry_template)")</f>
        <v/>
      </c>
      <c r="E130" s="15" t="inlineStr">
        <is>
          <t>operating_guidance</t>
        </is>
      </c>
      <c r="F130" s="15" t="inlineStr"/>
    </row>
    <row r="131" ht="18" customHeight="1" s="12">
      <c r="A131" s="15" t="inlineStr">
        <is>
          <t>Origination Pipeline</t>
        </is>
      </c>
      <c r="B131" s="15" t="inlineStr">
        <is>
          <t>Draft</t>
        </is>
      </c>
      <c r="C131" s="16">
        <f>HYPERLINK('Link Config'!$B$2&amp;"plugins/vc/tasks/configure-origination-pipeline.md","Configure Origination Pipeline")</f>
        <v/>
      </c>
      <c r="D131" s="16">
        <f>HYPERLINK('Link Config'!$B$2&amp;"plugins/vc/alludium/documents/shared/template-use-guidance.md","Template Use Guidance (vc.document.template_use_guidance)")</f>
        <v/>
      </c>
      <c r="E131" s="15" t="inlineStr">
        <is>
          <t>operating_guidance</t>
        </is>
      </c>
      <c r="F131" s="15" t="inlineStr"/>
    </row>
    <row r="132" ht="18" customHeight="1" s="12">
      <c r="A132" s="15" t="inlineStr">
        <is>
          <t>Origination Pipeline</t>
        </is>
      </c>
      <c r="B132" s="15" t="inlineStr">
        <is>
          <t>Active</t>
        </is>
      </c>
      <c r="C132" s="16">
        <f>HYPERLINK('Link Config'!$B$2&amp;"plugins/vc/tasks/source-thesis-targets.md","Source Thesis Targets")</f>
        <v/>
      </c>
      <c r="D132" s="16">
        <f>HYPERLINK('Link Config'!$B$2&amp;"plugins/vc/alludium/documents/deal-room/thesis-target-list-template.md","Thesis Target List Template (vc.document.thesis_target_list_template)")</f>
        <v/>
      </c>
      <c r="E132" s="15" t="inlineStr">
        <is>
          <t>output_template</t>
        </is>
      </c>
      <c r="F132" s="15" t="inlineStr">
        <is>
          <t>thesis_target_list_artifact_id</t>
        </is>
      </c>
    </row>
    <row r="133" ht="18" customHeight="1" s="12">
      <c r="A133" s="15" t="inlineStr">
        <is>
          <t>Origination Pipeline</t>
        </is>
      </c>
      <c r="B133" s="15" t="inlineStr">
        <is>
          <t>Active</t>
        </is>
      </c>
      <c r="C133" s="16">
        <f>HYPERLINK('Link Config'!$B$2&amp;"plugins/vc/tasks/source-thesis-targets.md","Source Thesis Targets")</f>
        <v/>
      </c>
      <c r="D133" s="16">
        <f>HYPERLINK('Link Config'!$B$2&amp;"plugins/vc/alludium/documents/origination/origination-source-strategy-guide.md","Origination Source Strategy Guide (vc.document.origination_source_strategy_guide)")</f>
        <v/>
      </c>
      <c r="E133" s="15" t="inlineStr">
        <is>
          <t>methodology</t>
        </is>
      </c>
      <c r="F133" s="15" t="inlineStr"/>
    </row>
    <row r="134" ht="18" customHeight="1" s="12">
      <c r="A134" s="15" t="inlineStr">
        <is>
          <t>Origination Pipeline</t>
        </is>
      </c>
      <c r="B134" s="15" t="inlineStr">
        <is>
          <t>Active</t>
        </is>
      </c>
      <c r="C134" s="16">
        <f>HYPERLINK('Link Config'!$B$2&amp;"plugins/vc/tasks/source-thesis-targets.md","Source Thesis Targets")</f>
        <v/>
      </c>
      <c r="D134" s="16">
        <f>HYPERLINK('Link Config'!$B$2&amp;"plugins/vc/alludium/documents/shared/evidence-citation-style-guide.md","Evidence And Citation Style Guide (vc.document.evidence_citation_style_guide)")</f>
        <v/>
      </c>
      <c r="E134" s="15" t="inlineStr">
        <is>
          <t>style_guide</t>
        </is>
      </c>
      <c r="F134" s="15" t="inlineStr"/>
    </row>
    <row r="135" ht="18" customHeight="1" s="12">
      <c r="A135" s="15" t="inlineStr">
        <is>
          <t>Origination Pipeline</t>
        </is>
      </c>
      <c r="B135" s="15" t="inlineStr">
        <is>
          <t>Active</t>
        </is>
      </c>
      <c r="C135" s="16">
        <f>HYPERLINK('Link Config'!$B$2&amp;"plugins/vc/tasks/source-thesis-targets.md","Source Thesis Targets")</f>
        <v/>
      </c>
      <c r="D135" s="16">
        <f>HYPERLINK('Link Config'!$B$2&amp;"plugins/vc/alludium/documents/shared/template-use-guidance.md","Template Use Guidance (vc.document.template_use_guidance)")</f>
        <v/>
      </c>
      <c r="E135" s="15" t="inlineStr">
        <is>
          <t>operating_guidance</t>
        </is>
      </c>
      <c r="F135" s="15" t="inlineStr"/>
    </row>
    <row r="136" ht="18" customHeight="1" s="12">
      <c r="A136" s="15" t="inlineStr">
        <is>
          <t>Origination Pipeline</t>
        </is>
      </c>
      <c r="B136" s="15" t="inlineStr">
        <is>
          <t>Review Backlog</t>
        </is>
      </c>
      <c r="C136" s="16">
        <f>HYPERLINK('Link Config'!$B$2&amp;"plugins/vc/tasks/score-sourcing-candidates.md","Score Sourcing Candidates")</f>
        <v/>
      </c>
      <c r="D136" s="16">
        <f>HYPERLINK('Link Config'!$B$2&amp;"plugins/vc/alludium/documents/origination/sourcing-scoring-rubric.md","Sourcing Scoring Rubric (vc.document.sourcing_scoring_rubric)")</f>
        <v/>
      </c>
      <c r="E136" s="15" t="inlineStr">
        <is>
          <t>methodology</t>
        </is>
      </c>
      <c r="F136" s="15" t="inlineStr">
        <is>
          <t>scoring_artifact_id</t>
        </is>
      </c>
    </row>
    <row r="137" ht="18" customHeight="1" s="12">
      <c r="A137" s="15" t="inlineStr">
        <is>
          <t>Origination Pipeline</t>
        </is>
      </c>
      <c r="B137" s="15" t="inlineStr">
        <is>
          <t>Review Backlog</t>
        </is>
      </c>
      <c r="C137" s="16">
        <f>HYPERLINK('Link Config'!$B$2&amp;"plugins/vc/tasks/score-sourcing-candidates.md","Score Sourcing Candidates")</f>
        <v/>
      </c>
      <c r="D137" s="16">
        <f>HYPERLINK('Link Config'!$B$2&amp;"plugins/vc/alludium/documents/origination/origination-source-strategy-guide.md","Origination Source Strategy Guide (vc.document.origination_source_strategy_guide)")</f>
        <v/>
      </c>
      <c r="E137" s="15" t="inlineStr">
        <is>
          <t>methodology</t>
        </is>
      </c>
      <c r="F137" s="15" t="inlineStr"/>
    </row>
    <row r="138" ht="18" customHeight="1" s="12">
      <c r="A138" s="15" t="inlineStr">
        <is>
          <t>Origination Pipeline</t>
        </is>
      </c>
      <c r="B138" s="15" t="inlineStr">
        <is>
          <t>Review Backlog</t>
        </is>
      </c>
      <c r="C138" s="16">
        <f>HYPERLINK('Link Config'!$B$2&amp;"plugins/vc/tasks/score-sourcing-candidates.md","Score Sourcing Candidates")</f>
        <v/>
      </c>
      <c r="D138" s="16">
        <f>HYPERLINK('Link Config'!$B$2&amp;"plugins/vc/alludium/documents/shared/template-use-guidance.md","Template Use Guidance (vc.document.template_use_guidance)")</f>
        <v/>
      </c>
      <c r="E138" s="15" t="inlineStr">
        <is>
          <t>operating_guidance</t>
        </is>
      </c>
      <c r="F138" s="15" t="inlineStr"/>
    </row>
    <row r="139" ht="18" customHeight="1" s="12">
      <c r="A139" s="15" t="inlineStr">
        <is>
          <t>Origination Pipeline</t>
        </is>
      </c>
      <c r="B139" s="15" t="inlineStr">
        <is>
          <t>Review Backlog</t>
        </is>
      </c>
      <c r="C139" s="16">
        <f>HYPERLINK('Link Config'!$B$2&amp;"plugins/vc/tasks/prepare-sourcing-ic-summary.md","Prepare Sourcing IC Summary")</f>
        <v/>
      </c>
      <c r="D139" s="16">
        <f>HYPERLINK('Link Config'!$B$2&amp;"plugins/vc/alludium/documents/origination/sourcing-ic-summary-template.md","Sourcing IC Summary Template (vc.document.sourcing_ic_summary_template)")</f>
        <v/>
      </c>
      <c r="E139" s="15" t="inlineStr">
        <is>
          <t>output_template</t>
        </is>
      </c>
      <c r="F139" s="15" t="inlineStr">
        <is>
          <t>ic_summary_artifact_id</t>
        </is>
      </c>
    </row>
    <row r="140" ht="18" customHeight="1" s="12">
      <c r="A140" s="15" t="inlineStr">
        <is>
          <t>Origination Pipeline</t>
        </is>
      </c>
      <c r="B140" s="15" t="inlineStr">
        <is>
          <t>Review Backlog</t>
        </is>
      </c>
      <c r="C140" s="16">
        <f>HYPERLINK('Link Config'!$B$2&amp;"plugins/vc/tasks/prepare-sourcing-ic-summary.md","Prepare Sourcing IC Summary")</f>
        <v/>
      </c>
      <c r="D140" s="16">
        <f>HYPERLINK('Link Config'!$B$2&amp;"plugins/vc/alludium/documents/origination/origination-source-strategy-guide.md","Origination Source Strategy Guide (vc.document.origination_source_strategy_guide)")</f>
        <v/>
      </c>
      <c r="E140" s="15" t="inlineStr">
        <is>
          <t>methodology</t>
        </is>
      </c>
      <c r="F140" s="15" t="inlineStr"/>
    </row>
    <row r="141" ht="18" customHeight="1" s="12">
      <c r="A141" s="15" t="inlineStr">
        <is>
          <t>Origination Pipeline</t>
        </is>
      </c>
      <c r="B141" s="15" t="inlineStr">
        <is>
          <t>Review Backlog</t>
        </is>
      </c>
      <c r="C141" s="16">
        <f>HYPERLINK('Link Config'!$B$2&amp;"plugins/vc/tasks/prepare-sourcing-ic-summary.md","Prepare Sourcing IC Summary")</f>
        <v/>
      </c>
      <c r="D141" s="16">
        <f>HYPERLINK('Link Config'!$B$2&amp;"plugins/vc/alludium/documents/shared/evidence-citation-style-guide.md","Evidence And Citation Style Guide (vc.document.evidence_citation_style_guide)")</f>
        <v/>
      </c>
      <c r="E141" s="15" t="inlineStr">
        <is>
          <t>style_guide</t>
        </is>
      </c>
      <c r="F141" s="15" t="inlineStr"/>
    </row>
    <row r="142" ht="18" customHeight="1" s="12">
      <c r="A142" s="15" t="inlineStr">
        <is>
          <t>Origination Pipeline</t>
        </is>
      </c>
      <c r="B142" s="15" t="inlineStr">
        <is>
          <t>Review Backlog</t>
        </is>
      </c>
      <c r="C142" s="16">
        <f>HYPERLINK('Link Config'!$B$2&amp;"plugins/vc/tasks/prepare-sourcing-ic-summary.md","Prepare Sourcing IC Summary")</f>
        <v/>
      </c>
      <c r="D142" s="16">
        <f>HYPERLINK('Link Config'!$B$2&amp;"plugins/vc/alludium/documents/shared/template-use-guidance.md","Template Use Guidance (vc.document.template_use_guidance)")</f>
        <v/>
      </c>
      <c r="E142" s="15" t="inlineStr">
        <is>
          <t>operating_guidance</t>
        </is>
      </c>
      <c r="F142" s="15" t="inlineStr"/>
    </row>
    <row r="143" ht="18" customHeight="1" s="12">
      <c r="A143" s="15" t="inlineStr">
        <is>
          <t>Origination Pipeline</t>
        </is>
      </c>
      <c r="B143" s="15" t="inlineStr">
        <is>
          <t>Review Backlog</t>
        </is>
      </c>
      <c r="C143" s="16">
        <f>HYPERLINK('Link Config'!$B$2&amp;"plugins/vc/tasks/promote-candidate-to-deal-room.md","Promote Candidate to Deal Pipeline")</f>
        <v/>
      </c>
      <c r="D143" s="16">
        <f>HYPERLINK('Link Config'!$B$2&amp;"plugins/vc/alludium/documents/origination/promotion-package-template.md","Promotion Package Template (vc.document.promotion_package_template)")</f>
        <v/>
      </c>
      <c r="E143" s="15" t="inlineStr">
        <is>
          <t>output_template</t>
        </is>
      </c>
      <c r="F143" s="15" t="inlineStr">
        <is>
          <t>promotion_package_artifact_id</t>
        </is>
      </c>
    </row>
    <row r="144" ht="18" customHeight="1" s="12">
      <c r="A144" s="15" t="inlineStr">
        <is>
          <t>Origination Pipeline</t>
        </is>
      </c>
      <c r="B144" s="15" t="inlineStr">
        <is>
          <t>Review Backlog</t>
        </is>
      </c>
      <c r="C144" s="16">
        <f>HYPERLINK('Link Config'!$B$2&amp;"plugins/vc/tasks/promote-candidate-to-deal-room.md","Promote Candidate to Deal Pipeline")</f>
        <v/>
      </c>
      <c r="D144" s="16">
        <f>HYPERLINK('Link Config'!$B$2&amp;"plugins/vc/alludium/documents/origination/origination-source-strategy-guide.md","Origination Source Strategy Guide (vc.document.origination_source_strategy_guide)")</f>
        <v/>
      </c>
      <c r="E144" s="15" t="inlineStr">
        <is>
          <t>methodology</t>
        </is>
      </c>
      <c r="F144" s="15" t="inlineStr"/>
    </row>
    <row r="145" ht="18" customHeight="1" s="12">
      <c r="A145" s="15" t="inlineStr">
        <is>
          <t>Origination Pipeline</t>
        </is>
      </c>
      <c r="B145" s="15" t="inlineStr">
        <is>
          <t>Review Backlog</t>
        </is>
      </c>
      <c r="C145" s="16">
        <f>HYPERLINK('Link Config'!$B$2&amp;"plugins/vc/tasks/promote-candidate-to-deal-room.md","Promote Candidate to Deal Pipeline")</f>
        <v/>
      </c>
      <c r="D145" s="16">
        <f>HYPERLINK('Link Config'!$B$2&amp;"plugins/vc/alludium/documents/shared/template-use-guidance.md","Template Use Guidance (vc.document.template_use_guidance)")</f>
        <v/>
      </c>
      <c r="E145" s="15" t="inlineStr">
        <is>
          <t>operating_guidance</t>
        </is>
      </c>
      <c r="F145" s="15" t="inlineStr"/>
    </row>
    <row r="146" ht="18" customHeight="1" s="12">
      <c r="A146" s="15" t="inlineStr">
        <is>
          <t>Investment Management</t>
        </is>
      </c>
      <c r="B146" s="15" t="inlineStr">
        <is>
          <t>Formal Diligence</t>
        </is>
      </c>
      <c r="C146" s="16">
        <f>HYPERLINK('Link Config'!$B$2&amp;"plugins/vc/tasks/run-commercial-dd.md","Run Commercial DD")</f>
        <v/>
      </c>
      <c r="D146" s="16">
        <f>HYPERLINK('Link Config'!$B$2&amp;"plugins/vc/alludium/documents/deal-room/diligence-report-template.md","Diligence Report Template (vc.document.diligence_report_template)")</f>
        <v/>
      </c>
      <c r="E146" s="15" t="inlineStr">
        <is>
          <t>output_template</t>
        </is>
      </c>
      <c r="F146" s="15" t="inlineStr">
        <is>
          <t>commercial_dd_artifact_id</t>
        </is>
      </c>
    </row>
    <row r="147" ht="18" customHeight="1" s="12">
      <c r="A147" s="15" t="inlineStr">
        <is>
          <t>Investment Management</t>
        </is>
      </c>
      <c r="B147" s="15" t="inlineStr">
        <is>
          <t>Formal Diligence</t>
        </is>
      </c>
      <c r="C147" s="16">
        <f>HYPERLINK('Link Config'!$B$2&amp;"plugins/vc/tasks/run-commercial-dd.md","Run Commercial DD")</f>
        <v/>
      </c>
      <c r="D147" s="16">
        <f>HYPERLINK('Link Config'!$B$2&amp;"plugins/vc/alludium/documents/deal-room/formal-diligence-workstream-guide.md","Formal Diligence Workstream Guide (vc.document.formal_diligence_workstream_guide)")</f>
        <v/>
      </c>
      <c r="E147" s="15" t="inlineStr">
        <is>
          <t>methodology</t>
        </is>
      </c>
      <c r="F147" s="15" t="inlineStr"/>
    </row>
    <row r="148" ht="18" customHeight="1" s="12">
      <c r="A148" s="15" t="inlineStr">
        <is>
          <t>Investment Management</t>
        </is>
      </c>
      <c r="B148" s="15" t="inlineStr">
        <is>
          <t>Formal Diligence</t>
        </is>
      </c>
      <c r="C148" s="16">
        <f>HYPERLINK('Link Config'!$B$2&amp;"plugins/vc/tasks/run-commercial-dd.md","Run Commercial DD")</f>
        <v/>
      </c>
      <c r="D148" s="16">
        <f>HYPERLINK('Link Config'!$B$2&amp;"plugins/vc/alludium/documents/deal-room/formal-diligence-checklist.md","Formal Diligence Checklist (vc.document.formal_diligence_checklist)")</f>
        <v/>
      </c>
      <c r="E148" s="15" t="inlineStr">
        <is>
          <t>checklist</t>
        </is>
      </c>
      <c r="F148" s="15" t="inlineStr"/>
    </row>
    <row r="149" ht="18" customHeight="1" s="12">
      <c r="A149" s="15" t="inlineStr">
        <is>
          <t>Investment Management</t>
        </is>
      </c>
      <c r="B149" s="15" t="inlineStr">
        <is>
          <t>Formal Diligence</t>
        </is>
      </c>
      <c r="C149" s="16">
        <f>HYPERLINK('Link Config'!$B$2&amp;"plugins/vc/tasks/run-commercial-dd.md","Run Commercial DD")</f>
        <v/>
      </c>
      <c r="D149" s="16">
        <f>HYPERLINK('Link Config'!$B$2&amp;"plugins/vc/alludium/documents/shared/evidence-citation-style-guide.md","Evidence And Citation Style Guide (vc.document.evidence_citation_style_guide)")</f>
        <v/>
      </c>
      <c r="E149" s="15" t="inlineStr">
        <is>
          <t>style_guide</t>
        </is>
      </c>
      <c r="F149" s="15" t="inlineStr"/>
    </row>
    <row r="150" ht="18" customHeight="1" s="12">
      <c r="A150" s="15" t="inlineStr">
        <is>
          <t>Investment Management</t>
        </is>
      </c>
      <c r="B150" s="15" t="inlineStr">
        <is>
          <t>Formal Diligence</t>
        </is>
      </c>
      <c r="C150" s="16">
        <f>HYPERLINK('Link Config'!$B$2&amp;"plugins/vc/tasks/run-commercial-dd.md","Run Commercial DD")</f>
        <v/>
      </c>
      <c r="D150" s="16">
        <f>HYPERLINK('Link Config'!$B$2&amp;"plugins/vc/alludium/documents/shared/template-use-guidance.md","Template Use Guidance (vc.document.template_use_guidance)")</f>
        <v/>
      </c>
      <c r="E150" s="15" t="inlineStr">
        <is>
          <t>operating_guidance</t>
        </is>
      </c>
      <c r="F150" s="15" t="inlineStr"/>
    </row>
    <row r="151" ht="18" customHeight="1" s="12">
      <c r="A151" s="15" t="inlineStr">
        <is>
          <t>Investment Management</t>
        </is>
      </c>
      <c r="B151" s="15" t="inlineStr">
        <is>
          <t>Formal Diligence</t>
        </is>
      </c>
      <c r="C151" s="16">
        <f>HYPERLINK('Link Config'!$B$2&amp;"plugins/vc/tasks/run-financial-dd.md","Run Financial DD")</f>
        <v/>
      </c>
      <c r="D151" s="16">
        <f>HYPERLINK('Link Config'!$B$2&amp;"plugins/vc/alludium/documents/deal-room/diligence-report-template.md","Diligence Report Template (vc.document.diligence_report_template)")</f>
        <v/>
      </c>
      <c r="E151" s="15" t="inlineStr">
        <is>
          <t>output_template</t>
        </is>
      </c>
      <c r="F151" s="15" t="inlineStr">
        <is>
          <t>financial_dd_artifact_id</t>
        </is>
      </c>
    </row>
    <row r="152" ht="18" customHeight="1" s="12">
      <c r="A152" s="15" t="inlineStr">
        <is>
          <t>Investment Management</t>
        </is>
      </c>
      <c r="B152" s="15" t="inlineStr">
        <is>
          <t>Formal Diligence</t>
        </is>
      </c>
      <c r="C152" s="16">
        <f>HYPERLINK('Link Config'!$B$2&amp;"plugins/vc/tasks/run-financial-dd.md","Run Financial DD")</f>
        <v/>
      </c>
      <c r="D152" s="16">
        <f>HYPERLINK('Link Config'!$B$2&amp;"plugins/vc/alludium/documents/deal-room/formal-diligence-workstream-guide.md","Formal Diligence Workstream Guide (vc.document.formal_diligence_workstream_guide)")</f>
        <v/>
      </c>
      <c r="E152" s="15" t="inlineStr">
        <is>
          <t>methodology</t>
        </is>
      </c>
      <c r="F152" s="15" t="inlineStr"/>
    </row>
    <row r="153" ht="18" customHeight="1" s="12">
      <c r="A153" s="15" t="inlineStr">
        <is>
          <t>Investment Management</t>
        </is>
      </c>
      <c r="B153" s="15" t="inlineStr">
        <is>
          <t>Formal Diligence</t>
        </is>
      </c>
      <c r="C153" s="16">
        <f>HYPERLINK('Link Config'!$B$2&amp;"plugins/vc/tasks/run-financial-dd.md","Run Financial DD")</f>
        <v/>
      </c>
      <c r="D153" s="16">
        <f>HYPERLINK('Link Config'!$B$2&amp;"plugins/vc/alludium/documents/deal-room/formal-diligence-checklist.md","Formal Diligence Checklist (vc.document.formal_diligence_checklist)")</f>
        <v/>
      </c>
      <c r="E153" s="15" t="inlineStr">
        <is>
          <t>checklist</t>
        </is>
      </c>
      <c r="F153" s="15" t="inlineStr"/>
    </row>
    <row r="154" ht="18" customHeight="1" s="12">
      <c r="A154" s="15" t="inlineStr">
        <is>
          <t>Investment Management</t>
        </is>
      </c>
      <c r="B154" s="15" t="inlineStr">
        <is>
          <t>Formal Diligence</t>
        </is>
      </c>
      <c r="C154" s="16">
        <f>HYPERLINK('Link Config'!$B$2&amp;"plugins/vc/tasks/run-financial-dd.md","Run Financial DD")</f>
        <v/>
      </c>
      <c r="D154" s="16">
        <f>HYPERLINK('Link Config'!$B$2&amp;"plugins/vc/alludium/documents/deal-room/diligence-report-template.md","Diligence Report Template (vc.document.diligence_report_template)")</f>
        <v/>
      </c>
      <c r="E154" s="15" t="inlineStr">
        <is>
          <t>output_template</t>
        </is>
      </c>
      <c r="F154" s="15" t="inlineStr">
        <is>
          <t>unit_economics_artifact_id</t>
        </is>
      </c>
    </row>
    <row r="155" ht="18" customHeight="1" s="12">
      <c r="A155" s="15" t="inlineStr">
        <is>
          <t>Investment Management</t>
        </is>
      </c>
      <c r="B155" s="15" t="inlineStr">
        <is>
          <t>Formal Diligence</t>
        </is>
      </c>
      <c r="C155" s="16">
        <f>HYPERLINK('Link Config'!$B$2&amp;"plugins/vc/tasks/run-financial-dd.md","Run Financial DD")</f>
        <v/>
      </c>
      <c r="D155" s="16">
        <f>HYPERLINK('Link Config'!$B$2&amp;"plugins/vc/alludium/documents/shared/evidence-citation-style-guide.md","Evidence And Citation Style Guide (vc.document.evidence_citation_style_guide)")</f>
        <v/>
      </c>
      <c r="E155" s="15" t="inlineStr">
        <is>
          <t>style_guide</t>
        </is>
      </c>
      <c r="F155" s="15" t="inlineStr"/>
    </row>
    <row r="156" ht="18" customHeight="1" s="12">
      <c r="A156" s="15" t="inlineStr">
        <is>
          <t>Investment Management</t>
        </is>
      </c>
      <c r="B156" s="15" t="inlineStr">
        <is>
          <t>Formal Diligence</t>
        </is>
      </c>
      <c r="C156" s="16">
        <f>HYPERLINK('Link Config'!$B$2&amp;"plugins/vc/tasks/run-financial-dd.md","Run Financial DD")</f>
        <v/>
      </c>
      <c r="D156" s="16">
        <f>HYPERLINK('Link Config'!$B$2&amp;"plugins/vc/alludium/documents/shared/template-use-guidance.md","Template Use Guidance (vc.document.template_use_guidance)")</f>
        <v/>
      </c>
      <c r="E156" s="15" t="inlineStr">
        <is>
          <t>operating_guidance</t>
        </is>
      </c>
      <c r="F156" s="15" t="inlineStr"/>
    </row>
    <row r="157" ht="18" customHeight="1" s="12">
      <c r="A157" s="15" t="inlineStr">
        <is>
          <t>Investment Management</t>
        </is>
      </c>
      <c r="B157" s="15" t="inlineStr">
        <is>
          <t>Formal Diligence</t>
        </is>
      </c>
      <c r="C157" s="16">
        <f>HYPERLINK('Link Config'!$B$2&amp;"plugins/vc/tasks/run-founder-evaluation.md","Run Founder Evaluation")</f>
        <v/>
      </c>
      <c r="D157" s="16">
        <f>HYPERLINK('Link Config'!$B$2&amp;"plugins/vc/alludium/documents/deal-room/diligence-report-template.md","Diligence Report Template (vc.document.diligence_report_template)")</f>
        <v/>
      </c>
      <c r="E157" s="15" t="inlineStr">
        <is>
          <t>output_template</t>
        </is>
      </c>
      <c r="F157" s="15" t="inlineStr">
        <is>
          <t>founder_evaluation_artifact_id</t>
        </is>
      </c>
    </row>
    <row r="158" ht="18" customHeight="1" s="12">
      <c r="A158" s="15" t="inlineStr">
        <is>
          <t>Investment Management</t>
        </is>
      </c>
      <c r="B158" s="15" t="inlineStr">
        <is>
          <t>Formal Diligence</t>
        </is>
      </c>
      <c r="C158" s="16">
        <f>HYPERLINK('Link Config'!$B$2&amp;"plugins/vc/tasks/run-founder-evaluation.md","Run Founder Evaluation")</f>
        <v/>
      </c>
      <c r="D158" s="16">
        <f>HYPERLINK('Link Config'!$B$2&amp;"plugins/vc/alludium/documents/deal-room/formal-diligence-workstream-guide.md","Formal Diligence Workstream Guide (vc.document.formal_diligence_workstream_guide)")</f>
        <v/>
      </c>
      <c r="E158" s="15" t="inlineStr">
        <is>
          <t>methodology</t>
        </is>
      </c>
      <c r="F158" s="15" t="inlineStr"/>
    </row>
    <row r="159" ht="18" customHeight="1" s="12">
      <c r="A159" s="15" t="inlineStr">
        <is>
          <t>Investment Management</t>
        </is>
      </c>
      <c r="B159" s="15" t="inlineStr">
        <is>
          <t>Formal Diligence</t>
        </is>
      </c>
      <c r="C159" s="16">
        <f>HYPERLINK('Link Config'!$B$2&amp;"plugins/vc/tasks/run-founder-evaluation.md","Run Founder Evaluation")</f>
        <v/>
      </c>
      <c r="D159" s="16">
        <f>HYPERLINK('Link Config'!$B$2&amp;"plugins/vc/alludium/documents/deal-room/formal-diligence-checklist.md","Formal Diligence Checklist (vc.document.formal_diligence_checklist)")</f>
        <v/>
      </c>
      <c r="E159" s="15" t="inlineStr">
        <is>
          <t>checklist</t>
        </is>
      </c>
      <c r="F159" s="15" t="inlineStr"/>
    </row>
    <row r="160" ht="18" customHeight="1" s="12">
      <c r="A160" s="15" t="inlineStr">
        <is>
          <t>Investment Management</t>
        </is>
      </c>
      <c r="B160" s="15" t="inlineStr">
        <is>
          <t>Formal Diligence</t>
        </is>
      </c>
      <c r="C160" s="16">
        <f>HYPERLINK('Link Config'!$B$2&amp;"plugins/vc/tasks/run-founder-evaluation.md","Run Founder Evaluation")</f>
        <v/>
      </c>
      <c r="D160" s="16">
        <f>HYPERLINK('Link Config'!$B$2&amp;"plugins/vc/alludium/documents/shared/evidence-citation-style-guide.md","Evidence And Citation Style Guide (vc.document.evidence_citation_style_guide)")</f>
        <v/>
      </c>
      <c r="E160" s="15" t="inlineStr">
        <is>
          <t>style_guide</t>
        </is>
      </c>
      <c r="F160" s="15" t="inlineStr"/>
    </row>
    <row r="161" ht="18" customHeight="1" s="12">
      <c r="A161" s="15" t="inlineStr">
        <is>
          <t>Investment Management</t>
        </is>
      </c>
      <c r="B161" s="15" t="inlineStr">
        <is>
          <t>Formal Diligence</t>
        </is>
      </c>
      <c r="C161" s="16">
        <f>HYPERLINK('Link Config'!$B$2&amp;"plugins/vc/tasks/run-founder-evaluation.md","Run Founder Evaluation")</f>
        <v/>
      </c>
      <c r="D161" s="16">
        <f>HYPERLINK('Link Config'!$B$2&amp;"plugins/vc/alludium/documents/shared/template-use-guidance.md","Template Use Guidance (vc.document.template_use_guidance)")</f>
        <v/>
      </c>
      <c r="E161" s="15" t="inlineStr">
        <is>
          <t>operating_guidance</t>
        </is>
      </c>
      <c r="F161" s="15" t="inlineStr"/>
    </row>
    <row r="162" ht="18" customHeight="1" s="12">
      <c r="A162" s="15" t="inlineStr">
        <is>
          <t>Investment Management</t>
        </is>
      </c>
      <c r="B162" s="15" t="inlineStr">
        <is>
          <t>Formal Diligence</t>
        </is>
      </c>
      <c r="C162" s="16">
        <f>HYPERLINK('Link Config'!$B$2&amp;"plugins/vc/tasks/run-technical-dd.md","Run Technical DD")</f>
        <v/>
      </c>
      <c r="D162" s="16">
        <f>HYPERLINK('Link Config'!$B$2&amp;"plugins/vc/alludium/documents/deal-room/diligence-report-template.md","Diligence Report Template (vc.document.diligence_report_template)")</f>
        <v/>
      </c>
      <c r="E162" s="15" t="inlineStr">
        <is>
          <t>output_template</t>
        </is>
      </c>
      <c r="F162" s="15" t="inlineStr">
        <is>
          <t>technical_dd_artifact_id</t>
        </is>
      </c>
    </row>
    <row r="163" ht="18" customHeight="1" s="12">
      <c r="A163" s="15" t="inlineStr">
        <is>
          <t>Investment Management</t>
        </is>
      </c>
      <c r="B163" s="15" t="inlineStr">
        <is>
          <t>Formal Diligence</t>
        </is>
      </c>
      <c r="C163" s="16">
        <f>HYPERLINK('Link Config'!$B$2&amp;"plugins/vc/tasks/run-technical-dd.md","Run Technical DD")</f>
        <v/>
      </c>
      <c r="D163" s="16">
        <f>HYPERLINK('Link Config'!$B$2&amp;"plugins/vc/alludium/documents/deal-room/formal-diligence-workstream-guide.md","Formal Diligence Workstream Guide (vc.document.formal_diligence_workstream_guide)")</f>
        <v/>
      </c>
      <c r="E163" s="15" t="inlineStr">
        <is>
          <t>methodology</t>
        </is>
      </c>
      <c r="F163" s="15" t="inlineStr"/>
    </row>
    <row r="164" ht="18" customHeight="1" s="12">
      <c r="A164" s="15" t="inlineStr">
        <is>
          <t>Investment Management</t>
        </is>
      </c>
      <c r="B164" s="15" t="inlineStr">
        <is>
          <t>Formal Diligence</t>
        </is>
      </c>
      <c r="C164" s="16">
        <f>HYPERLINK('Link Config'!$B$2&amp;"plugins/vc/tasks/run-technical-dd.md","Run Technical DD")</f>
        <v/>
      </c>
      <c r="D164" s="16">
        <f>HYPERLINK('Link Config'!$B$2&amp;"plugins/vc/alludium/documents/deal-room/formal-diligence-checklist.md","Formal Diligence Checklist (vc.document.formal_diligence_checklist)")</f>
        <v/>
      </c>
      <c r="E164" s="15" t="inlineStr">
        <is>
          <t>checklist</t>
        </is>
      </c>
      <c r="F164" s="15" t="inlineStr"/>
    </row>
    <row r="165" ht="18" customHeight="1" s="12">
      <c r="A165" s="15" t="inlineStr">
        <is>
          <t>Investment Management</t>
        </is>
      </c>
      <c r="B165" s="15" t="inlineStr">
        <is>
          <t>Formal Diligence</t>
        </is>
      </c>
      <c r="C165" s="16">
        <f>HYPERLINK('Link Config'!$B$2&amp;"plugins/vc/tasks/run-technical-dd.md","Run Technical DD")</f>
        <v/>
      </c>
      <c r="D165" s="16">
        <f>HYPERLINK('Link Config'!$B$2&amp;"plugins/vc/alludium/documents/shared/evidence-citation-style-guide.md","Evidence And Citation Style Guide (vc.document.evidence_citation_style_guide)")</f>
        <v/>
      </c>
      <c r="E165" s="15" t="inlineStr">
        <is>
          <t>style_guide</t>
        </is>
      </c>
      <c r="F165" s="15" t="inlineStr"/>
    </row>
    <row r="166" ht="18" customHeight="1" s="12">
      <c r="A166" s="15" t="inlineStr">
        <is>
          <t>Investment Management</t>
        </is>
      </c>
      <c r="B166" s="15" t="inlineStr">
        <is>
          <t>Formal Diligence</t>
        </is>
      </c>
      <c r="C166" s="16">
        <f>HYPERLINK('Link Config'!$B$2&amp;"plugins/vc/tasks/run-technical-dd.md","Run Technical DD")</f>
        <v/>
      </c>
      <c r="D166" s="16">
        <f>HYPERLINK('Link Config'!$B$2&amp;"plugins/vc/alludium/documents/shared/template-use-guidance.md","Template Use Guidance (vc.document.template_use_guidance)")</f>
        <v/>
      </c>
      <c r="E166" s="15" t="inlineStr">
        <is>
          <t>operating_guidance</t>
        </is>
      </c>
      <c r="F166" s="15" t="inlineStr"/>
    </row>
    <row r="167" ht="18" customHeight="1" s="12">
      <c r="A167" s="15" t="inlineStr">
        <is>
          <t>Investment Management</t>
        </is>
      </c>
      <c r="B167" s="15" t="inlineStr">
        <is>
          <t>Formal Diligence</t>
        </is>
      </c>
      <c r="C167" s="16">
        <f>HYPERLINK('Link Config'!$B$2&amp;"plugins/vc/tasks/run-legal-diligence.md","Run Legal Diligence")</f>
        <v/>
      </c>
      <c r="D167" s="16">
        <f>HYPERLINK('Link Config'!$B$2&amp;"plugins/vc/alludium/documents/deal-room/legal-diligence-tracker-template.md","Legal Diligence Tracker Template (vc.document.legal_diligence_tracker_template)")</f>
        <v/>
      </c>
      <c r="E167" s="15" t="inlineStr">
        <is>
          <t>output_template</t>
        </is>
      </c>
      <c r="F167" s="15" t="inlineStr">
        <is>
          <t>legal_diligence_artifact_id</t>
        </is>
      </c>
    </row>
    <row r="168" ht="18" customHeight="1" s="12">
      <c r="A168" s="15" t="inlineStr">
        <is>
          <t>Investment Management</t>
        </is>
      </c>
      <c r="B168" s="15" t="inlineStr">
        <is>
          <t>Formal Diligence</t>
        </is>
      </c>
      <c r="C168" s="16">
        <f>HYPERLINK('Link Config'!$B$2&amp;"plugins/vc/tasks/run-legal-diligence.md","Run Legal Diligence")</f>
        <v/>
      </c>
      <c r="D168" s="16">
        <f>HYPERLINK('Link Config'!$B$2&amp;"plugins/vc/alludium/documents/deal-room/legal-diligence-guide.md","Legal Diligence Guide (vc.document.legal_diligence_guide)")</f>
        <v/>
      </c>
      <c r="E168" s="15" t="inlineStr">
        <is>
          <t>methodology</t>
        </is>
      </c>
      <c r="F168" s="15" t="inlineStr"/>
    </row>
    <row r="169" ht="18" customHeight="1" s="12">
      <c r="A169" s="15" t="inlineStr">
        <is>
          <t>Investment Management</t>
        </is>
      </c>
      <c r="B169" s="15" t="inlineStr">
        <is>
          <t>Formal Diligence</t>
        </is>
      </c>
      <c r="C169" s="16">
        <f>HYPERLINK('Link Config'!$B$2&amp;"plugins/vc/tasks/run-legal-diligence.md","Run Legal Diligence")</f>
        <v/>
      </c>
      <c r="D169" s="16">
        <f>HYPERLINK('Link Config'!$B$2&amp;"plugins/vc/alludium/documents/deal-room/formal-diligence-workstream-guide.md","Formal Diligence Workstream Guide (vc.document.formal_diligence_workstream_guide)")</f>
        <v/>
      </c>
      <c r="E169" s="15" t="inlineStr">
        <is>
          <t>methodology</t>
        </is>
      </c>
      <c r="F169" s="15" t="inlineStr"/>
    </row>
    <row r="170" ht="18" customHeight="1" s="12">
      <c r="A170" s="15" t="inlineStr">
        <is>
          <t>Investment Management</t>
        </is>
      </c>
      <c r="B170" s="15" t="inlineStr">
        <is>
          <t>Formal Diligence</t>
        </is>
      </c>
      <c r="C170" s="16">
        <f>HYPERLINK('Link Config'!$B$2&amp;"plugins/vc/tasks/run-legal-diligence.md","Run Legal Diligence")</f>
        <v/>
      </c>
      <c r="D170" s="16">
        <f>HYPERLINK('Link Config'!$B$2&amp;"plugins/vc/alludium/documents/deal-room/formal-diligence-checklist.md","Formal Diligence Checklist (vc.document.formal_diligence_checklist)")</f>
        <v/>
      </c>
      <c r="E170" s="15" t="inlineStr">
        <is>
          <t>checklist</t>
        </is>
      </c>
      <c r="F170" s="15" t="inlineStr"/>
    </row>
    <row r="171" ht="18" customHeight="1" s="12">
      <c r="A171" s="15" t="inlineStr">
        <is>
          <t>Investment Management</t>
        </is>
      </c>
      <c r="B171" s="15" t="inlineStr">
        <is>
          <t>Formal Diligence</t>
        </is>
      </c>
      <c r="C171" s="16">
        <f>HYPERLINK('Link Config'!$B$2&amp;"plugins/vc/tasks/run-legal-diligence.md","Run Legal Diligence")</f>
        <v/>
      </c>
      <c r="D171" s="16">
        <f>HYPERLINK('Link Config'!$B$2&amp;"plugins/vc/alludium/documents/shared/evidence-citation-style-guide.md","Evidence And Citation Style Guide (vc.document.evidence_citation_style_guide)")</f>
        <v/>
      </c>
      <c r="E171" s="15" t="inlineStr">
        <is>
          <t>style_guide</t>
        </is>
      </c>
      <c r="F171" s="15" t="inlineStr"/>
    </row>
    <row r="172" ht="18" customHeight="1" s="12">
      <c r="A172" s="15" t="inlineStr">
        <is>
          <t>Investment Management</t>
        </is>
      </c>
      <c r="B172" s="15" t="inlineStr">
        <is>
          <t>Formal Diligence</t>
        </is>
      </c>
      <c r="C172" s="16">
        <f>HYPERLINK('Link Config'!$B$2&amp;"plugins/vc/tasks/run-legal-diligence.md","Run Legal Diligence")</f>
        <v/>
      </c>
      <c r="D172" s="16">
        <f>HYPERLINK('Link Config'!$B$2&amp;"plugins/vc/alludium/documents/shared/template-use-guidance.md","Template Use Guidance (vc.document.template_use_guidance)")</f>
        <v/>
      </c>
      <c r="E172" s="15" t="inlineStr">
        <is>
          <t>operating_guidance</t>
        </is>
      </c>
      <c r="F172" s="15" t="inlineStr"/>
    </row>
    <row r="173" ht="18" customHeight="1" s="12">
      <c r="A173" s="15" t="inlineStr">
        <is>
          <t>Investment Management</t>
        </is>
      </c>
      <c r="B173" s="15" t="inlineStr">
        <is>
          <t>Contracts</t>
        </is>
      </c>
      <c r="C173" s="16">
        <f>HYPERLINK('Link Config'!$B$2&amp;"plugins/vc/tasks/review-investment-documents.md","Review Investment Documents")</f>
        <v/>
      </c>
      <c r="D173" s="16">
        <f>HYPERLINK('Link Config'!$B$2&amp;"plugins/vc/alludium/documents/deal-room/investment-document-review-template.md","Investment Document Review Template (vc.document.investment_document_review_template)")</f>
        <v/>
      </c>
      <c r="E173" s="15" t="inlineStr">
        <is>
          <t>output_template</t>
        </is>
      </c>
      <c r="F173" s="15" t="inlineStr">
        <is>
          <t>investment_document_review_artifact_id</t>
        </is>
      </c>
    </row>
    <row r="174" ht="18" customHeight="1" s="12">
      <c r="A174" s="15" t="inlineStr">
        <is>
          <t>Investment Management</t>
        </is>
      </c>
      <c r="B174" s="15" t="inlineStr">
        <is>
          <t>Contracts</t>
        </is>
      </c>
      <c r="C174" s="16">
        <f>HYPERLINK('Link Config'!$B$2&amp;"plugins/vc/tasks/review-investment-documents.md","Review Investment Documents")</f>
        <v/>
      </c>
      <c r="D174" s="16">
        <f>HYPERLINK('Link Config'!$B$2&amp;"plugins/vc/alludium/documents/deal-room/legal-diligence-guide.md","Legal Diligence Guide (vc.document.legal_diligence_guide)")</f>
        <v/>
      </c>
      <c r="E174" s="15" t="inlineStr">
        <is>
          <t>methodology</t>
        </is>
      </c>
      <c r="F174" s="15" t="inlineStr"/>
    </row>
    <row r="175" ht="18" customHeight="1" s="12">
      <c r="A175" s="15" t="inlineStr">
        <is>
          <t>Investment Management</t>
        </is>
      </c>
      <c r="B175" s="15" t="inlineStr">
        <is>
          <t>Contracts</t>
        </is>
      </c>
      <c r="C175" s="16">
        <f>HYPERLINK('Link Config'!$B$2&amp;"plugins/vc/tasks/review-investment-documents.md","Review Investment Documents")</f>
        <v/>
      </c>
      <c r="D175" s="16">
        <f>HYPERLINK('Link Config'!$B$2&amp;"plugins/vc/alludium/documents/shared/evidence-citation-style-guide.md","Evidence And Citation Style Guide (vc.document.evidence_citation_style_guide)")</f>
        <v/>
      </c>
      <c r="E175" s="15" t="inlineStr">
        <is>
          <t>style_guide</t>
        </is>
      </c>
      <c r="F175" s="15" t="inlineStr"/>
    </row>
    <row r="176" ht="18" customHeight="1" s="12">
      <c r="A176" s="15" t="inlineStr">
        <is>
          <t>Investment Management</t>
        </is>
      </c>
      <c r="B176" s="15" t="inlineStr">
        <is>
          <t>Contracts</t>
        </is>
      </c>
      <c r="C176" s="16">
        <f>HYPERLINK('Link Config'!$B$2&amp;"plugins/vc/tasks/review-investment-documents.md","Review Investment Documents")</f>
        <v/>
      </c>
      <c r="D176" s="16">
        <f>HYPERLINK('Link Config'!$B$2&amp;"plugins/vc/alludium/documents/shared/template-use-guidance.md","Template Use Guidance (vc.document.template_use_guidance)")</f>
        <v/>
      </c>
      <c r="E176" s="15" t="inlineStr">
        <is>
          <t>operating_guidance</t>
        </is>
      </c>
      <c r="F176" s="15" t="inlineStr"/>
    </row>
    <row r="177" ht="18" customHeight="1" s="12">
      <c r="A177" s="15" t="inlineStr">
        <is>
          <t>Investment Management</t>
        </is>
      </c>
      <c r="B177" s="15" t="inlineStr">
        <is>
          <t>Closing</t>
        </is>
      </c>
      <c r="C177" s="16">
        <f>HYPERLINK('Link Config'!$B$2&amp;"plugins/vc/tasks/manage-closing-checklist.md","Manage Closing Checklist")</f>
        <v/>
      </c>
      <c r="D177" s="16">
        <f>HYPERLINK('Link Config'!$B$2&amp;"plugins/vc/alludium/documents/deal-room/closing-checklist.md","Closing Checklist (vc.document.closing_checklist)")</f>
        <v/>
      </c>
      <c r="E177" s="15" t="inlineStr">
        <is>
          <t>output_template</t>
        </is>
      </c>
      <c r="F177" s="15" t="inlineStr">
        <is>
          <t>closing_checklist_artifact_id</t>
        </is>
      </c>
    </row>
    <row r="178" ht="18" customHeight="1" s="12">
      <c r="A178" s="15" t="inlineStr">
        <is>
          <t>Investment Management</t>
        </is>
      </c>
      <c r="B178" s="15" t="inlineStr">
        <is>
          <t>Closing</t>
        </is>
      </c>
      <c r="C178" s="16">
        <f>HYPERLINK('Link Config'!$B$2&amp;"plugins/vc/tasks/manage-closing-checklist.md","Manage Closing Checklist")</f>
        <v/>
      </c>
      <c r="D178" s="16">
        <f>HYPERLINK('Link Config'!$B$2&amp;"plugins/vc/alludium/documents/deal-room/legal-diligence-guide.md","Legal Diligence Guide (vc.document.legal_diligence_guide)")</f>
        <v/>
      </c>
      <c r="E178" s="15" t="inlineStr">
        <is>
          <t>methodology</t>
        </is>
      </c>
      <c r="F178" s="15" t="inlineStr"/>
    </row>
    <row r="179" ht="18" customHeight="1" s="12">
      <c r="A179" s="15" t="inlineStr">
        <is>
          <t>Investment Management</t>
        </is>
      </c>
      <c r="B179" s="15" t="inlineStr">
        <is>
          <t>Closing</t>
        </is>
      </c>
      <c r="C179" s="16">
        <f>HYPERLINK('Link Config'!$B$2&amp;"plugins/vc/tasks/manage-closing-checklist.md","Manage Closing Checklist")</f>
        <v/>
      </c>
      <c r="D179" s="16">
        <f>HYPERLINK('Link Config'!$B$2&amp;"plugins/vc/alludium/documents/shared/template-use-guidance.md","Template Use Guidance (vc.document.template_use_guidance)")</f>
        <v/>
      </c>
      <c r="E179" s="15" t="inlineStr">
        <is>
          <t>operating_guidance</t>
        </is>
      </c>
      <c r="F179" s="15" t="inlineStr"/>
    </row>
    <row r="180" ht="18" customHeight="1" s="12">
      <c r="A180" s="15" t="inlineStr">
        <is>
          <t>Investment Management</t>
        </is>
      </c>
      <c r="B180" s="15" t="inlineStr">
        <is>
          <t>Closing</t>
        </is>
      </c>
      <c r="C180" s="16">
        <f>HYPERLINK('Link Config'!$B$2&amp;"plugins/vc/tasks/verify-conditions-precedent.md","Verify Conditions Precedent")</f>
        <v/>
      </c>
      <c r="D180" s="16">
        <f>HYPERLINK('Link Config'!$B$2&amp;"plugins/vc/alludium/documents/deal-room/conditions-precedent-tracker-template.md","Conditions Precedent Tracker Template (vc.document.conditions_precedent_tracker_template)")</f>
        <v/>
      </c>
      <c r="E180" s="15" t="inlineStr">
        <is>
          <t>output_template</t>
        </is>
      </c>
      <c r="F180" s="15" t="inlineStr">
        <is>
          <t>conditions_precedent_verification_artifact_id</t>
        </is>
      </c>
    </row>
    <row r="181" ht="18" customHeight="1" s="12">
      <c r="A181" s="15" t="inlineStr">
        <is>
          <t>Investment Management</t>
        </is>
      </c>
      <c r="B181" s="15" t="inlineStr">
        <is>
          <t>Closing</t>
        </is>
      </c>
      <c r="C181" s="16">
        <f>HYPERLINK('Link Config'!$B$2&amp;"plugins/vc/tasks/verify-conditions-precedent.md","Verify Conditions Precedent")</f>
        <v/>
      </c>
      <c r="D181" s="16">
        <f>HYPERLINK('Link Config'!$B$2&amp;"plugins/vc/alludium/documents/deal-room/legal-diligence-guide.md","Legal Diligence Guide (vc.document.legal_diligence_guide)")</f>
        <v/>
      </c>
      <c r="E181" s="15" t="inlineStr">
        <is>
          <t>methodology</t>
        </is>
      </c>
      <c r="F181" s="15" t="inlineStr"/>
    </row>
    <row r="182" ht="18" customHeight="1" s="12">
      <c r="A182" s="15" t="inlineStr">
        <is>
          <t>Investment Management</t>
        </is>
      </c>
      <c r="B182" s="15" t="inlineStr">
        <is>
          <t>Closing</t>
        </is>
      </c>
      <c r="C182" s="16">
        <f>HYPERLINK('Link Config'!$B$2&amp;"plugins/vc/tasks/verify-conditions-precedent.md","Verify Conditions Precedent")</f>
        <v/>
      </c>
      <c r="D182" s="16">
        <f>HYPERLINK('Link Config'!$B$2&amp;"plugins/vc/alludium/documents/shared/template-use-guidance.md","Template Use Guidance (vc.document.template_use_guidance)")</f>
        <v/>
      </c>
      <c r="E182" s="15" t="inlineStr">
        <is>
          <t>operating_guidance</t>
        </is>
      </c>
      <c r="F182" s="15" t="inlineStr"/>
    </row>
    <row r="183" ht="18" customHeight="1" s="12">
      <c r="A183" s="15" t="inlineStr">
        <is>
          <t>Investment Management</t>
        </is>
      </c>
      <c r="B183" s="15" t="inlineStr">
        <is>
          <t>Closing</t>
        </is>
      </c>
      <c r="C183" s="16">
        <f>HYPERLINK('Link Config'!$B$2&amp;"plugins/vc/tasks/coordinate-capital-call-and-completion.md","Coordinate Capital Call And Completion")</f>
        <v/>
      </c>
      <c r="D183" s="16">
        <f>HYPERLINK('Link Config'!$B$2&amp;"plugins/vc/alludium/documents/deal-room/completion-tracker-template.md","Completion Tracker Template (vc.document.completion_tracker_template)")</f>
        <v/>
      </c>
      <c r="E183" s="15" t="inlineStr">
        <is>
          <t>output_template</t>
        </is>
      </c>
      <c r="F183" s="15" t="inlineStr">
        <is>
          <t>completion_tracker_artifact_id</t>
        </is>
      </c>
    </row>
    <row r="184" ht="18" customHeight="1" s="12">
      <c r="A184" s="15" t="inlineStr">
        <is>
          <t>Investment Management</t>
        </is>
      </c>
      <c r="B184" s="15" t="inlineStr">
        <is>
          <t>Closing</t>
        </is>
      </c>
      <c r="C184" s="16">
        <f>HYPERLINK('Link Config'!$B$2&amp;"plugins/vc/tasks/coordinate-capital-call-and-completion.md","Coordinate Capital Call And Completion")</f>
        <v/>
      </c>
      <c r="D184" s="16">
        <f>HYPERLINK('Link Config'!$B$2&amp;"plugins/vc/alludium/documents/shared/evidence-citation-style-guide.md","Evidence And Citation Style Guide (vc.document.evidence_citation_style_guide)")</f>
        <v/>
      </c>
      <c r="E184" s="15" t="inlineStr">
        <is>
          <t>style_guide</t>
        </is>
      </c>
      <c r="F184" s="15" t="inlineStr"/>
    </row>
    <row r="185" ht="18" customHeight="1" s="12">
      <c r="A185" s="15" t="inlineStr">
        <is>
          <t>Investment Management</t>
        </is>
      </c>
      <c r="B185" s="15" t="inlineStr">
        <is>
          <t>Closing</t>
        </is>
      </c>
      <c r="C185" s="16">
        <f>HYPERLINK('Link Config'!$B$2&amp;"plugins/vc/tasks/coordinate-capital-call-and-completion.md","Coordinate Capital Call And Completion")</f>
        <v/>
      </c>
      <c r="D185" s="16">
        <f>HYPERLINK('Link Config'!$B$2&amp;"plugins/vc/alludium/documents/shared/template-use-guidance.md","Template Use Guidance (vc.document.template_use_guidance)")</f>
        <v/>
      </c>
      <c r="E185" s="15" t="inlineStr">
        <is>
          <t>operating_guidance</t>
        </is>
      </c>
      <c r="F185" s="15" t="inlineStr"/>
    </row>
    <row r="186" ht="18" customHeight="1" s="12">
      <c r="A186" s="15" t="inlineStr">
        <is>
          <t>Investment Management</t>
        </is>
      </c>
      <c r="B186" s="15" t="inlineStr">
        <is>
          <t>Closing</t>
        </is>
      </c>
      <c r="C186" s="16">
        <f>HYPERLINK('Link Config'!$B$2&amp;"plugins/vc/tasks/prepare-portfolio-onboarding.md","Prepare Portfolio Onboarding")</f>
        <v/>
      </c>
      <c r="D186" s="16">
        <f>HYPERLINK('Link Config'!$B$2&amp;"plugins/vc/alludium/documents/deal-room/portfolio-onboarding-plan-template.md","Portfolio Onboarding Plan Template (vc.document.portfolio_onboarding_plan_template)")</f>
        <v/>
      </c>
      <c r="E186" s="15" t="inlineStr">
        <is>
          <t>output_template</t>
        </is>
      </c>
      <c r="F186" s="15" t="inlineStr">
        <is>
          <t>portfolio_onboarding_plan_artifact_id</t>
        </is>
      </c>
    </row>
    <row r="187" ht="18" customHeight="1" s="12">
      <c r="A187" s="15" t="inlineStr">
        <is>
          <t>Investment Management</t>
        </is>
      </c>
      <c r="B187" s="15" t="inlineStr">
        <is>
          <t>Closing</t>
        </is>
      </c>
      <c r="C187" s="16">
        <f>HYPERLINK('Link Config'!$B$2&amp;"plugins/vc/tasks/prepare-portfolio-onboarding.md","Prepare Portfolio Onboarding")</f>
        <v/>
      </c>
      <c r="D187" s="16">
        <f>HYPERLINK('Link Config'!$B$2&amp;"plugins/vc/alludium/documents/shared/template-use-guidance.md","Template Use Guidance (vc.document.template_use_guidance)")</f>
        <v/>
      </c>
      <c r="E187" s="15" t="inlineStr">
        <is>
          <t>operating_guidance</t>
        </is>
      </c>
      <c r="F187" s="15" t="inlineStr"/>
    </row>
  </sheetData>
  <autoFilter ref="A1:F187"/>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2026-05-27T12:00:58Z</dcterms:modified>
</cp:coreProperties>
</file>